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8459d0a3d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s Tracker" sheetId="1" r:id="Rda1dc7ce2a5c4488"/>
    <x:sheet xmlns:r="http://schemas.openxmlformats.org/officeDocument/2006/relationships" name="Dashboard" sheetId="2" r:id="R01c3c62684cf4973"/>
    <x:sheet xmlns:r="http://schemas.openxmlformats.org/officeDocument/2006/relationships" name="Lists" sheetId="3" r:id="Rec51350d1140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yyyy-mm-dd"/>
  </x:numFmts>
  <x:fonts count="18">
    <x:font>
      <x:sz val="11"/>
      <x:name val="Carlito"/>
    </x:font>
    <x:font>
      <x:b/>
      <x:sz val="18"/>
      <x:color rgb="FF243129"/>
      <x:name val="Carlito"/>
    </x:font>
    <x:font>
      <x:i/>
      <x:sz val="11"/>
      <x:color rgb="FF5A665F"/>
      <x:name val="Carlito"/>
    </x:font>
    <x:font>
      <x:b/>
      <x:sz val="11"/>
      <x:color rgb="FF2F3A33"/>
      <x:name val="Carlito"/>
    </x:font>
    <x:font>
      <x:b/>
      <x:sz val="12"/>
      <x:color rgb="FF16251B"/>
      <x:name val="Carlito"/>
    </x:font>
    <x:font>
      <x:b/>
      <x:sz val="11"/>
      <x:color rgb="FFFFFFFF"/>
      <x:name val="Carlito"/>
    </x:font>
    <x:font>
      <x:sz val="11"/>
      <x:color rgb="FF243129"/>
      <x:name val="Carlito"/>
    </x:font>
    <x:font>
      <x:sz val="13"/>
      <x:color rgb="FF435247"/>
      <x:name val="Carlito"/>
    </x:font>
    <x:font>
      <x:b/>
      <x:sz val="13"/>
      <x:color rgb="FF16251B"/>
      <x:name val="Carlito"/>
    </x:font>
    <x:font>
      <x:b/>
      <x:sz val="18"/>
      <x:color rgb="FF243129"/>
      <x:name val="Arial"/>
    </x:font>
    <x:font>
      <x:sz val="11"/>
      <x:name val="Arial"/>
    </x:font>
    <x:font>
      <x:i/>
      <x:sz val="11"/>
      <x:color rgb="FF5A665F"/>
      <x:name val="Arial"/>
    </x:font>
    <x:font>
      <x:b/>
      <x:sz val="11"/>
      <x:color rgb="FF2F3A33"/>
      <x:name val="Arial"/>
    </x:font>
    <x:font>
      <x:b/>
      <x:sz val="12"/>
      <x:color rgb="FF16251B"/>
      <x:name val="Arial"/>
    </x:font>
    <x:font>
      <x:b/>
      <x:sz val="11"/>
      <x:color rgb="FFFFFFFF"/>
      <x:name val="Arial"/>
    </x:font>
    <x:font>
      <x:sz val="13"/>
      <x:color rgb="FF435247"/>
      <x:name val="Arial"/>
    </x:font>
    <x:font>
      <x:sz val="11"/>
      <x:color rgb="FF243129"/>
      <x:name val="Arial"/>
    </x:font>
    <x:font>
      <x:b/>
      <x:sz val="13"/>
      <x:color rgb="FF16251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7F5"/>
      </x:patternFill>
    </x:fill>
    <x:fill>
      <x:patternFill patternType="solid">
        <x:fgColor rgb="FFFFFFFF"/>
      </x:patternFill>
    </x:fill>
    <x:fill>
      <x:patternFill patternType="solid">
        <x:fgColor rgb="FFEAF3EE"/>
      </x:patternFill>
    </x:fill>
    <x:fill>
      <x:patternFill patternType="solid">
        <x:fgColor rgb="FF435247"/>
      </x:patternFill>
    </x:fill>
  </x:fills>
  <x:borders count="27">
    <x:border/>
    <x:border>
      <x:left style="thin">
        <x:color rgb="FFD8E0DC"/>
      </x:left>
      <x:top style="thin">
        <x:color rgb="FFD8E0DC"/>
      </x:top>
    </x:border>
    <x:border>
      <x:top style="thin">
        <x:color rgb="FFD8E0DC"/>
      </x:top>
    </x:border>
    <x:border>
      <x:right style="thin">
        <x:color rgb="FFD8E0DC"/>
      </x:right>
      <x:top style="thin">
        <x:color rgb="FFD8E0DC"/>
      </x:top>
    </x:border>
    <x:border>
      <x:left style="thin">
        <x:color rgb="FFD8E0DC"/>
      </x:left>
      <x:bottom style="thin">
        <x:color rgb="FFD8E0DC"/>
      </x:bottom>
    </x:border>
    <x:border>
      <x:bottom style="thin">
        <x:color rgb="FFD8E0DC"/>
      </x:bottom>
    </x:border>
    <x:border>
      <x:right style="thin">
        <x:color rgb="FFD8E0DC"/>
      </x:right>
      <x:bottom style="thin">
        <x:color rgb="FFD8E0DC"/>
      </x:bottom>
    </x:border>
    <x:border>
      <x:left style="thin">
        <x:color rgb="FF2B352E"/>
      </x:left>
      <x:top style="thin">
        <x:color rgb="FF2B352E"/>
      </x:top>
      <x:bottom style="thin">
        <x:color rgb="FF2B352E"/>
      </x:bottom>
    </x:border>
    <x:border>
      <x:top style="thin">
        <x:color rgb="FF2B352E"/>
      </x:top>
      <x:bottom style="thin">
        <x:color rgb="FF2B352E"/>
      </x:bottom>
    </x:border>
    <x:border>
      <x:right style="thin">
        <x:color rgb="FF2B352E"/>
      </x:right>
      <x:top style="thin">
        <x:color rgb="FF2B352E"/>
      </x:top>
      <x:bottom style="thin">
        <x:color rgb="FF2B352E"/>
      </x:bottom>
    </x:border>
    <x:border>
      <x:right style="thin">
        <x:color rgb="FFEEF2F0"/>
      </x:right>
      <x:bottom style="thin">
        <x:color rgb="FFEEF2F0"/>
      </x:bottom>
    </x:border>
    <x:border>
      <x:left style="thin">
        <x:color rgb="FFEEF2F0"/>
      </x:left>
      <x:right style="thin">
        <x:color rgb="FFEEF2F0"/>
      </x:right>
      <x:bottom style="thin">
        <x:color rgb="FFEEF2F0"/>
      </x:bottom>
    </x:border>
    <x:border>
      <x:left style="thin">
        <x:color rgb="FFEEF2F0"/>
      </x:left>
      <x:bottom style="thin">
        <x:color rgb="FFEEF2F0"/>
      </x:bottom>
    </x:border>
    <x:border>
      <x:right style="thin">
        <x:color rgb="FFEEF2F0"/>
      </x:right>
      <x:top style="thin">
        <x:color rgb="FFEEF2F0"/>
      </x:top>
      <x:bottom style="thin">
        <x:color rgb="FFEEF2F0"/>
      </x:bottom>
    </x:border>
    <x:border>
      <x:left style="thin">
        <x:color rgb="FFEEF2F0"/>
      </x:left>
      <x:right style="thin">
        <x:color rgb="FFEEF2F0"/>
      </x:right>
      <x:top style="thin">
        <x:color rgb="FFEEF2F0"/>
      </x:top>
      <x:bottom style="thin">
        <x:color rgb="FFEEF2F0"/>
      </x:bottom>
    </x:border>
    <x:border>
      <x:left style="thin">
        <x:color rgb="FFEEF2F0"/>
      </x:left>
      <x:top style="thin">
        <x:color rgb="FFEEF2F0"/>
      </x:top>
      <x:bottom style="thin">
        <x:color rgb="FFEEF2F0"/>
      </x:bottom>
    </x:border>
    <x:border>
      <x:right style="thin">
        <x:color rgb="FFEEF2F0"/>
      </x:right>
      <x:top style="thin">
        <x:color rgb="FFEEF2F0"/>
      </x:top>
      <x:bottom style="thin">
        <x:color rgb="FFD8E0DC"/>
      </x:bottom>
    </x:border>
    <x:border>
      <x:left style="thin">
        <x:color rgb="FFEEF2F0"/>
      </x:left>
      <x:right style="thin">
        <x:color rgb="FFEEF2F0"/>
      </x:right>
      <x:top style="thin">
        <x:color rgb="FFEEF2F0"/>
      </x:top>
      <x:bottom style="thin">
        <x:color rgb="FFD8E0DC"/>
      </x:bottom>
    </x:border>
    <x:border>
      <x:left style="thin">
        <x:color rgb="FFEEF2F0"/>
      </x:left>
      <x:top style="thin">
        <x:color rgb="FFEEF2F0"/>
      </x:top>
      <x:bottom style="thin">
        <x:color rgb="FFD8E0DC"/>
      </x:bottom>
    </x:border>
    <x:border>
      <x:left style="thin">
        <x:color rgb="FFD8E0DC"/>
      </x:left>
    </x:border>
    <x:border>
      <x:right style="thin">
        <x:color rgb="FFD8E0DC"/>
      </x:right>
    </x:border>
    <x:border>
      <x:bottom style="thin">
        <x:color rgb="FFEEF2F0"/>
      </x:bottom>
    </x:border>
    <x:border>
      <x:top style="thin">
        <x:color rgb="FFEEF2F0"/>
      </x:top>
      <x:bottom style="thin">
        <x:color rgb="FFEEF2F0"/>
      </x:bottom>
    </x:border>
    <x:border>
      <x:top style="thin">
        <x:color rgb="FFEEF2F0"/>
      </x:top>
      <x:bottom style="thin">
        <x:color rgb="FFD8E0DC"/>
      </x:bottom>
    </x:border>
    <x:border>
      <x:right style="thin">
        <x:color rgb="FFEEF2F0"/>
      </x:right>
      <x:top style="thin">
        <x:color rgb="FFEEF2F0"/>
      </x:top>
    </x:border>
    <x:border>
      <x:left style="thin">
        <x:color rgb="FFEEF2F0"/>
      </x:left>
      <x:right style="thin">
        <x:color rgb="FFEEF2F0"/>
      </x:right>
      <x:top style="thin">
        <x:color rgb="FFEEF2F0"/>
      </x:top>
    </x:border>
    <x:border>
      <x:left style="thin">
        <x:color rgb="FFEEF2F0"/>
      </x:left>
      <x:top style="thin">
        <x:color rgb="FFEEF2F0"/>
      </x:top>
    </x:border>
  </x:borders>
  <x:cellStyleXfs count="1">
    <x:xf numFmtId="0" fontId="0" fillId="0" borderId="0"/>
  </x:cellStyleXfs>
  <x:cellXfs count="1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200" fontId="4" fillId="3" borderId="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3" borderId="14" xfId="0" applyNumberFormat="1" applyFont="1" applyFill="1" applyBorder="1"/>
    <x:xf numFmtId="0" fontId="6" fillId="3" borderId="15" xfId="0" applyNumberFormat="1" applyFont="1" applyFill="1" applyBorder="1"/>
    <x:xf numFmtId="0" fontId="6" fillId="3" borderId="16" xfId="0" applyNumberFormat="1" applyFont="1" applyFill="1" applyBorder="1"/>
    <x:xf numFmtId="0" fontId="6" fillId="3" borderId="17" xfId="0" applyNumberFormat="1" applyFont="1" applyFill="1" applyBorder="1"/>
    <x:xf numFmtId="0" fontId="6" fillId="3" borderId="18" xfId="0" applyNumberFormat="1" applyFont="1" applyFill="1" applyBorder="1"/>
    <x:xf numFmtId="0" fontId="7" fillId="3" borderId="10" xfId="0" applyNumberFormat="1" applyFont="1" applyFill="1" applyBorder="1"/>
    <x:xf numFmtId="0" fontId="7" fillId="3" borderId="13" xfId="0" applyNumberFormat="1" applyFont="1" applyFill="1" applyBorder="1"/>
    <x:xf numFmtId="0" fontId="7" fillId="3" borderId="16" xfId="0" applyNumberFormat="1" applyFont="1" applyFill="1" applyBorder="1"/>
    <x:xf numFmtId="201" fontId="6" fillId="3" borderId="11" xfId="0" applyNumberFormat="1" applyFont="1" applyFill="1" applyBorder="1"/>
    <x:xf numFmtId="201" fontId="6" fillId="3" borderId="14" xfId="0" applyNumberFormat="1" applyFont="1" applyFill="1" applyBorder="1"/>
    <x:xf numFmtId="201" fontId="6" fillId="3" borderId="17" xfId="0" applyNumberFormat="1" applyFont="1" applyFill="1" applyBorder="1"/>
    <x:xf numFmtId="200" fontId="6" fillId="3" borderId="11" xfId="0" applyNumberFormat="1" applyFont="1" applyFill="1" applyBorder="1"/>
    <x:xf numFmtId="200" fontId="6" fillId="3" borderId="14" xfId="0" applyNumberFormat="1" applyFont="1" applyFill="1" applyBorder="1"/>
    <x:xf numFmtId="200" fontId="6" fillId="3" borderId="17" xfId="0" applyNumberFormat="1" applyFont="1" applyFill="1" applyBorder="1"/>
    <x:xf numFmtId="0" fontId="7" fillId="3" borderId="1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201" fontId="6" fillId="3" borderId="11" xfId="0" applyNumberFormat="1" applyFont="1" applyFill="1" applyBorder="1" applyAlignment="1">
      <x:alignment wrapText="1"/>
    </x:xf>
    <x:xf numFmtId="200" fontId="6" fillId="3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6" fillId="3" borderId="14" xfId="0" applyNumberFormat="1" applyFont="1" applyFill="1" applyBorder="1" applyAlignment="1">
      <x:alignment wrapText="1"/>
    </x:xf>
    <x:xf numFmtId="201" fontId="6" fillId="3" borderId="14" xfId="0" applyNumberFormat="1" applyFont="1" applyFill="1" applyBorder="1" applyAlignment="1">
      <x:alignment wrapText="1"/>
    </x:xf>
    <x:xf numFmtId="200" fontId="6" fillId="3" borderId="14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wrapText="1"/>
    </x:xf>
    <x:xf numFmtId="0" fontId="7" fillId="3" borderId="16" xfId="0" applyNumberFormat="1" applyFont="1" applyFill="1" applyBorder="1" applyAlignment="1">
      <x:alignment wrapText="1"/>
    </x:xf>
    <x:xf numFmtId="0" fontId="6" fillId="3" borderId="17" xfId="0" applyNumberFormat="1" applyFont="1" applyFill="1" applyBorder="1" applyAlignment="1">
      <x:alignment wrapText="1"/>
    </x:xf>
    <x:xf numFmtId="201" fontId="6" fillId="3" borderId="17" xfId="0" applyNumberFormat="1" applyFont="1" applyFill="1" applyBorder="1" applyAlignment="1">
      <x:alignment wrapText="1"/>
    </x:xf>
    <x:xf numFmtId="200" fontId="6" fillId="3" borderId="17" xfId="0" applyNumberFormat="1" applyFont="1" applyFill="1" applyBorder="1" applyAlignment="1">
      <x:alignment wrapText="1"/>
    </x:xf>
    <x:xf numFmtId="0" fontId="6" fillId="3" borderId="18" xfId="0" applyNumberFormat="1" applyFont="1" applyFill="1" applyBorder="1" applyAlignment="1">
      <x:alignment wrapText="1"/>
    </x:xf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4" borderId="19" xfId="0" applyNumberFormat="1" applyFont="1" applyFill="1" applyBorder="1"/>
    <x:xf numFmtId="0" fontId="0" fillId="4" borderId="0" xfId="0" applyNumberFormat="1" applyFont="1" applyFill="1" applyBorder="1"/>
    <x:xf numFmtId="0" fontId="0" fillId="4" borderId="20" xfId="0" applyNumberFormat="1" applyFont="1" applyFill="1" applyBorder="1"/>
    <x:xf numFmtId="0" fontId="3" fillId="4" borderId="19" xfId="0" applyNumberFormat="1" applyFont="1" applyFill="1" applyBorder="1"/>
    <x:xf numFmtId="0" fontId="3" fillId="4" borderId="0" xfId="0" applyNumberFormat="1" applyFont="1" applyFill="1" applyBorder="1"/>
    <x:xf numFmtId="0" fontId="3" fillId="4" borderId="20" xfId="0" applyNumberFormat="1" applyFont="1" applyFill="1" applyBorder="1"/>
    <x:xf numFmtId="0" fontId="8" fillId="3" borderId="19" xfId="0" applyNumberFormat="1" applyFont="1" applyFill="1" applyBorder="1"/>
    <x:xf numFmtId="0" fontId="8" fillId="3" borderId="0" xfId="0" applyNumberFormat="1" applyFont="1" applyFill="1" applyBorder="1"/>
    <x:xf numFmtId="0" fontId="8" fillId="3" borderId="20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200" fontId="8" fillId="3" borderId="5" xfId="0" applyNumberFormat="1" applyFont="1" applyFill="1" applyBorder="1"/>
    <x:xf numFmtId="200" fontId="8" fillId="3" borderId="6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1" fillId="2" borderId="0" xfId="0" applyNumberFormat="1" applyFont="1" applyFill="1" applyBorder="1"/>
    <x:xf numFmtId="0" fontId="12" fillId="4" borderId="1" xfId="0" applyNumberFormat="1" applyFont="1" applyFill="1" applyBorder="1"/>
    <x:xf numFmtId="0" fontId="12" fillId="4" borderId="2" xfId="0" applyNumberFormat="1" applyFont="1" applyFill="1" applyBorder="1"/>
    <x:xf numFmtId="0" fontId="12" fillId="4" borderId="3" xfId="0" applyNumberFormat="1" applyFont="1" applyFill="1" applyBorder="1"/>
    <x:xf numFmtId="0" fontId="13" fillId="3" borderId="4" xfId="0" applyNumberFormat="1" applyFont="1" applyFill="1" applyBorder="1"/>
    <x:xf numFmtId="0" fontId="13" fillId="3" borderId="5" xfId="0" applyNumberFormat="1" applyFont="1" applyFill="1" applyBorder="1"/>
    <x:xf numFmtId="200" fontId="13" fillId="3" borderId="5" xfId="0" applyNumberFormat="1" applyFont="1" applyFill="1" applyBorder="1"/>
    <x:xf numFmtId="0" fontId="13" fillId="3" borderId="6" xfId="0" applyNumberFormat="1" applyFont="1" applyFill="1" applyBorder="1"/>
    <x:xf numFmtId="0" fontId="14" fillId="5" borderId="7" xfId="0" applyNumberFormat="1" applyFont="1" applyFill="1" applyBorder="1"/>
    <x:xf numFmtId="0" fontId="14" fillId="5" borderId="8" xfId="0" applyNumberFormat="1" applyFont="1" applyFill="1" applyBorder="1"/>
    <x:xf numFmtId="0" fontId="14" fillId="5" borderId="9" xfId="0" applyNumberFormat="1" applyFont="1" applyFill="1" applyBorder="1"/>
    <x:xf numFmtId="0" fontId="15" fillId="3" borderId="10" xfId="0" applyNumberFormat="1" applyFont="1" applyFill="1" applyBorder="1" applyAlignment="1">
      <x:alignment wrapText="1"/>
    </x:xf>
    <x:xf numFmtId="0" fontId="16" fillId="3" borderId="11" xfId="0" applyNumberFormat="1" applyFont="1" applyFill="1" applyBorder="1" applyAlignment="1">
      <x:alignment wrapText="1"/>
    </x:xf>
    <x:xf numFmtId="201" fontId="16" fillId="3" borderId="11" xfId="0" applyNumberFormat="1" applyFont="1" applyFill="1" applyBorder="1" applyAlignment="1">
      <x:alignment wrapText="1"/>
    </x:xf>
    <x:xf numFmtId="200" fontId="16" fillId="3" borderId="11" xfId="0" applyNumberFormat="1" applyFont="1" applyFill="1" applyBorder="1" applyAlignment="1">
      <x:alignment wrapText="1"/>
    </x:xf>
    <x:xf numFmtId="0" fontId="16" fillId="3" borderId="12" xfId="0" applyNumberFormat="1" applyFont="1" applyFill="1" applyBorder="1" applyAlignment="1">
      <x:alignment wrapText="1"/>
    </x:xf>
    <x:xf numFmtId="0" fontId="15" fillId="3" borderId="13" xfId="0" applyNumberFormat="1" applyFont="1" applyFill="1" applyBorder="1" applyAlignment="1">
      <x:alignment wrapText="1"/>
    </x:xf>
    <x:xf numFmtId="0" fontId="16" fillId="3" borderId="14" xfId="0" applyNumberFormat="1" applyFont="1" applyFill="1" applyBorder="1" applyAlignment="1">
      <x:alignment wrapText="1"/>
    </x:xf>
    <x:xf numFmtId="201" fontId="16" fillId="3" borderId="14" xfId="0" applyNumberFormat="1" applyFont="1" applyFill="1" applyBorder="1" applyAlignment="1">
      <x:alignment wrapText="1"/>
    </x:xf>
    <x:xf numFmtId="200" fontId="16" fillId="3" borderId="14" xfId="0" applyNumberFormat="1" applyFont="1" applyFill="1" applyBorder="1" applyAlignment="1">
      <x:alignment wrapText="1"/>
    </x:xf>
    <x:xf numFmtId="0" fontId="16" fillId="3" borderId="15" xfId="0" applyNumberFormat="1" applyFont="1" applyFill="1" applyBorder="1" applyAlignment="1">
      <x:alignment wrapText="1"/>
    </x:xf>
    <x:xf numFmtId="0" fontId="15" fillId="3" borderId="16" xfId="0" applyNumberFormat="1" applyFont="1" applyFill="1" applyBorder="1" applyAlignment="1">
      <x:alignment wrapText="1"/>
    </x:xf>
    <x:xf numFmtId="0" fontId="16" fillId="3" borderId="17" xfId="0" applyNumberFormat="1" applyFont="1" applyFill="1" applyBorder="1" applyAlignment="1">
      <x:alignment wrapText="1"/>
    </x:xf>
    <x:xf numFmtId="201" fontId="16" fillId="3" borderId="17" xfId="0" applyNumberFormat="1" applyFont="1" applyFill="1" applyBorder="1" applyAlignment="1">
      <x:alignment wrapText="1"/>
    </x:xf>
    <x:xf numFmtId="200" fontId="16" fillId="3" borderId="17" xfId="0" applyNumberFormat="1" applyFont="1" applyFill="1" applyBorder="1" applyAlignment="1">
      <x:alignment wrapText="1"/>
    </x:xf>
    <x:xf numFmtId="0" fontId="16" fillId="3" borderId="18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center"/>
    </x:xf>
    <x:xf numFmtId="0" fontId="12" fillId="4" borderId="2" xfId="0" applyNumberFormat="1" applyFont="1" applyFill="1" applyBorder="1" applyAlignment="1">
      <x:alignment vertical="center"/>
    </x:xf>
    <x:xf numFmtId="0" fontId="12" fillId="4" borderId="3" xfId="0" applyNumberFormat="1" applyFont="1" applyFill="1" applyBorder="1" applyAlignment="1">
      <x:alignment vertical="center"/>
    </x:xf>
    <x:xf numFmtId="0" fontId="13" fillId="3" borderId="4" xfId="0" applyNumberFormat="1" applyFont="1" applyFill="1" applyBorder="1" applyAlignment="1">
      <x:alignment vertical="center"/>
    </x:xf>
    <x:xf numFmtId="0" fontId="13" fillId="3" borderId="5" xfId="0" applyNumberFormat="1" applyFont="1" applyFill="1" applyBorder="1" applyAlignment="1">
      <x:alignment vertical="center"/>
    </x:xf>
    <x:xf numFmtId="200" fontId="13" fillId="3" borderId="5" xfId="0" applyNumberFormat="1" applyFont="1" applyFill="1" applyBorder="1" applyAlignment="1">
      <x:alignment vertical="center"/>
    </x:xf>
    <x:xf numFmtId="0" fontId="13" fillId="3" borderId="6" xfId="0" applyNumberFormat="1" applyFont="1" applyFill="1" applyBorder="1" applyAlignment="1">
      <x:alignment vertical="center"/>
    </x:xf>
    <x:xf numFmtId="0" fontId="14" fillId="5" borderId="7" xfId="0" applyNumberFormat="1" applyFont="1" applyFill="1" applyBorder="1" applyAlignment="1">
      <x:alignment vertical="center"/>
    </x:xf>
    <x:xf numFmtId="0" fontId="14" fillId="5" borderId="8" xfId="0" applyNumberFormat="1" applyFont="1" applyFill="1" applyBorder="1" applyAlignment="1">
      <x:alignment vertical="center"/>
    </x:xf>
    <x:xf numFmtId="0" fontId="14" fillId="5" borderId="9" xfId="0" applyNumberFormat="1" applyFont="1" applyFill="1" applyBorder="1" applyAlignment="1">
      <x:alignment vertical="center"/>
    </x:xf>
    <x:xf numFmtId="0" fontId="15" fillId="3" borderId="10" xfId="0" applyNumberFormat="1" applyFont="1" applyFill="1" applyBorder="1" applyAlignment="1">
      <x:alignment vertical="center" wrapText="1"/>
    </x:xf>
    <x:xf numFmtId="0" fontId="16" fillId="3" borderId="11" xfId="0" applyNumberFormat="1" applyFont="1" applyFill="1" applyBorder="1" applyAlignment="1">
      <x:alignment vertical="center" wrapText="1"/>
    </x:xf>
    <x:xf numFmtId="201" fontId="16" fillId="3" borderId="11" xfId="0" applyNumberFormat="1" applyFont="1" applyFill="1" applyBorder="1" applyAlignment="1">
      <x:alignment vertical="center" wrapText="1"/>
    </x:xf>
    <x:xf numFmtId="200" fontId="16" fillId="3" borderId="11" xfId="0" applyNumberFormat="1" applyFont="1" applyFill="1" applyBorder="1" applyAlignment="1">
      <x:alignment vertical="center" wrapText="1"/>
    </x:xf>
    <x:xf numFmtId="0" fontId="16" fillId="3" borderId="12" xfId="0" applyNumberFormat="1" applyFont="1" applyFill="1" applyBorder="1" applyAlignment="1">
      <x:alignment vertical="center" wrapText="1"/>
    </x:xf>
    <x:xf numFmtId="0" fontId="15" fillId="3" borderId="13" xfId="0" applyNumberFormat="1" applyFont="1" applyFill="1" applyBorder="1" applyAlignment="1">
      <x:alignment vertical="center" wrapText="1"/>
    </x:xf>
    <x:xf numFmtId="0" fontId="16" fillId="3" borderId="14" xfId="0" applyNumberFormat="1" applyFont="1" applyFill="1" applyBorder="1" applyAlignment="1">
      <x:alignment vertical="center" wrapText="1"/>
    </x:xf>
    <x:xf numFmtId="201" fontId="16" fillId="3" borderId="14" xfId="0" applyNumberFormat="1" applyFont="1" applyFill="1" applyBorder="1" applyAlignment="1">
      <x:alignment vertical="center" wrapText="1"/>
    </x:xf>
    <x:xf numFmtId="200" fontId="16" fillId="3" borderId="14" xfId="0" applyNumberFormat="1" applyFont="1" applyFill="1" applyBorder="1" applyAlignment="1">
      <x:alignment vertical="center" wrapText="1"/>
    </x:xf>
    <x:xf numFmtId="0" fontId="16" fillId="3" borderId="15" xfId="0" applyNumberFormat="1" applyFont="1" applyFill="1" applyBorder="1" applyAlignment="1">
      <x:alignment vertical="center" wrapText="1"/>
    </x:xf>
    <x:xf numFmtId="0" fontId="15" fillId="3" borderId="16" xfId="0" applyNumberFormat="1" applyFont="1" applyFill="1" applyBorder="1" applyAlignment="1">
      <x:alignment vertical="center" wrapText="1"/>
    </x:xf>
    <x:xf numFmtId="0" fontId="16" fillId="3" borderId="17" xfId="0" applyNumberFormat="1" applyFont="1" applyFill="1" applyBorder="1" applyAlignment="1">
      <x:alignment vertical="center" wrapText="1"/>
    </x:xf>
    <x:xf numFmtId="201" fontId="16" fillId="3" borderId="17" xfId="0" applyNumberFormat="1" applyFont="1" applyFill="1" applyBorder="1" applyAlignment="1">
      <x:alignment vertical="center" wrapText="1"/>
    </x:xf>
    <x:xf numFmtId="200" fontId="16" fillId="3" borderId="17" xfId="0" applyNumberFormat="1" applyFont="1" applyFill="1" applyBorder="1" applyAlignment="1">
      <x:alignment vertical="center" wrapText="1"/>
    </x:xf>
    <x:xf numFmtId="0" fontId="16" fillId="3" borderId="18" xfId="0" applyNumberFormat="1" applyFont="1" applyFill="1" applyBorder="1" applyAlignment="1">
      <x:alignment vertical="center" wrapText="1"/>
    </x:xf>
    <x:xf numFmtId="0" fontId="17" fillId="3" borderId="19" xfId="0" applyNumberFormat="1" applyFont="1" applyFill="1" applyBorder="1"/>
    <x:xf numFmtId="0" fontId="17" fillId="3" borderId="0" xfId="0" applyNumberFormat="1" applyFont="1" applyFill="1" applyBorder="1"/>
    <x:xf numFmtId="0" fontId="17" fillId="3" borderId="20" xfId="0" applyNumberFormat="1" applyFont="1" applyFill="1" applyBorder="1"/>
    <x:xf numFmtId="0" fontId="12" fillId="4" borderId="19" xfId="0" applyNumberFormat="1" applyFont="1" applyFill="1" applyBorder="1"/>
    <x:xf numFmtId="0" fontId="12" fillId="4" borderId="0" xfId="0" applyNumberFormat="1" applyFont="1" applyFill="1" applyBorder="1"/>
    <x:xf numFmtId="0" fontId="12" fillId="4" borderId="20" xfId="0" applyNumberFormat="1" applyFont="1" applyFill="1" applyBorder="1"/>
    <x:xf numFmtId="0" fontId="17" fillId="3" borderId="4" xfId="0" applyNumberFormat="1" applyFont="1" applyFill="1" applyBorder="1"/>
    <x:xf numFmtId="0" fontId="17" fillId="3" borderId="5" xfId="0" applyNumberFormat="1" applyFont="1" applyFill="1" applyBorder="1"/>
    <x:xf numFmtId="200" fontId="17" fillId="3" borderId="5" xfId="0" applyNumberFormat="1" applyFont="1" applyFill="1" applyBorder="1"/>
    <x:xf numFmtId="200" fontId="17" fillId="3" borderId="6" xfId="0" applyNumberFormat="1" applyFont="1" applyFill="1" applyBorder="1"/>
    <x:xf numFmtId="0" fontId="14" fillId="5" borderId="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7" fillId="3" borderId="19" xfId="0" applyNumberFormat="1" applyFont="1" applyFill="1" applyBorder="1" applyAlignment="1">
      <x:alignment vertical="center"/>
    </x:xf>
    <x:xf numFmtId="0" fontId="17" fillId="3" borderId="0" xfId="0" applyNumberFormat="1" applyFont="1" applyFill="1" applyBorder="1" applyAlignment="1">
      <x:alignment vertical="center"/>
    </x:xf>
    <x:xf numFmtId="0" fontId="17" fillId="3" borderId="20" xfId="0" applyNumberFormat="1" applyFont="1" applyFill="1" applyBorder="1" applyAlignment="1">
      <x:alignment vertical="center"/>
    </x:xf>
    <x:xf numFmtId="0" fontId="12" fillId="4" borderId="19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0" fontId="12" fillId="4" borderId="20" xfId="0" applyNumberFormat="1" applyFont="1" applyFill="1" applyBorder="1" applyAlignment="1">
      <x:alignment vertical="center"/>
    </x:xf>
    <x:xf numFmtId="0" fontId="17" fillId="3" borderId="4" xfId="0" applyNumberFormat="1" applyFont="1" applyFill="1" applyBorder="1" applyAlignment="1">
      <x:alignment vertical="center"/>
    </x:xf>
    <x:xf numFmtId="0" fontId="17" fillId="3" borderId="5" xfId="0" applyNumberFormat="1" applyFont="1" applyFill="1" applyBorder="1" applyAlignment="1">
      <x:alignment vertical="center"/>
    </x:xf>
    <x:xf numFmtId="200" fontId="17" fillId="3" borderId="5" xfId="0" applyNumberFormat="1" applyFont="1" applyFill="1" applyBorder="1" applyAlignment="1">
      <x:alignment vertical="center"/>
    </x:xf>
    <x:xf numFmtId="200" fontId="17" fillId="3" borderId="6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0" fontId="10" fillId="3" borderId="21" xfId="0" applyNumberFormat="1" applyFont="1" applyFill="1" applyBorder="1" applyAlignment="1">
      <x:alignment vertical="center"/>
    </x:xf>
    <x:xf numFmtId="0" fontId="10" fillId="3" borderId="22" xfId="0" applyNumberFormat="1" applyFont="1" applyFill="1" applyBorder="1" applyAlignment="1">
      <x:alignment vertical="center"/>
    </x:xf>
    <x:xf numFmtId="0" fontId="10" fillId="3" borderId="23" xfId="0" applyNumberFormat="1" applyFont="1" applyFill="1" applyBorder="1" applyAlignment="1">
      <x:alignment vertical="center"/>
    </x:xf>
    <x:xf numFmtId="0" fontId="14" fillId="5" borderId="10" xfId="0" applyNumberFormat="1" applyFont="1" applyFill="1" applyBorder="1"/>
    <x:xf numFmtId="0" fontId="14" fillId="5" borderId="11" xfId="0" applyNumberFormat="1" applyFont="1" applyFill="1" applyBorder="1"/>
    <x:xf numFmtId="0" fontId="14" fillId="5" borderId="12" xfId="0" applyNumberFormat="1" applyFont="1" applyFill="1" applyBorder="1"/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10" fillId="0" borderId="15" xfId="0" applyNumberFormat="1" applyFont="1" applyFill="1" applyBorder="1"/>
    <x:xf numFmtId="0" fontId="10" fillId="0" borderId="24" xfId="0" applyNumberFormat="1" applyFont="1" applyFill="1" applyBorder="1"/>
    <x:xf numFmtId="0" fontId="10" fillId="0" borderId="25" xfId="0" applyNumberFormat="1" applyFont="1" applyFill="1" applyBorder="1"/>
    <x:xf numFmtId="0" fontId="10" fillId="0" borderId="26" xfId="0" applyNumberFormat="1" applyFont="1" applyFill="1" applyBorder="1"/>
    <x:xf numFmtId="0" fontId="14" fillId="5" borderId="10" xfId="0" applyNumberFormat="1" applyFont="1" applyFill="1" applyBorder="1" applyAlignment="1">
      <x:alignment vertical="center"/>
    </x:xf>
    <x:xf numFmtId="0" fontId="14" fillId="5" borderId="11" xfId="0" applyNumberFormat="1" applyFont="1" applyFill="1" applyBorder="1" applyAlignment="1">
      <x:alignment vertical="center"/>
    </x:xf>
    <x:xf numFmtId="0" fontId="14" fillId="5" borderId="12" xfId="0" applyNumberFormat="1" applyFont="1" applyFill="1" applyBorder="1" applyAlignment="1">
      <x:alignment vertical="center"/>
    </x:xf>
    <x:xf numFmtId="0" fontId="10" fillId="0" borderId="13" xfId="0" applyNumberFormat="1" applyFont="1" applyFill="1" applyBorder="1" applyAlignment="1">
      <x:alignment vertical="center"/>
    </x:xf>
    <x:xf numFmtId="0" fontId="10" fillId="0" borderId="14" xfId="0" applyNumberFormat="1" applyFont="1" applyFill="1" applyBorder="1" applyAlignment="1">
      <x:alignment vertical="center"/>
    </x:xf>
    <x:xf numFmtId="0" fontId="10" fillId="0" borderId="15" xfId="0" applyNumberFormat="1" applyFont="1" applyFill="1" applyBorder="1" applyAlignment="1">
      <x:alignment vertical="center"/>
    </x:xf>
    <x:xf numFmtId="0" fontId="10" fillId="0" borderId="24" xfId="0" applyNumberFormat="1" applyFont="1" applyFill="1" applyBorder="1" applyAlignment="1">
      <x:alignment vertical="center"/>
    </x:xf>
    <x:xf numFmtId="0" fontId="10" fillId="0" borderId="25" xfId="0" applyNumberFormat="1" applyFont="1" applyFill="1" applyBorder="1" applyAlignment="1">
      <x:alignment vertical="center"/>
    </x:xf>
    <x:xf numFmtId="0" fontId="10" fillId="0" borderId="26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color rgb="FF506157"/>
      </x:font>
      <x:fill>
        <x:patternFill patternType="solid">
          <x:bgColor rgb="FFEEF7F1"/>
        </x:patternFill>
      </x:fill>
    </x:dxf>
    <x:dxf>
      <x:font>
        <x:b/>
        <x:color rgb="FFA23B32"/>
      </x:font>
      <x:fill>
        <x:patternFill patternType="solid">
          <x:bgColor rgb="FFFCE8E6"/>
        </x:patternFill>
      </x:fill>
    </x:dxf>
    <x:dxf>
      <x:font>
        <x:color rgb="FF8A5B00"/>
      </x:font>
      <x:fill>
        <x:patternFill patternType="solid">
          <x:bgColor rgb="FFFFF4D6"/>
        </x:patternFill>
      </x:fill>
    </x:dxf>
    <x:dxf>
      <x:font>
        <x:color rgb="FF1A5DBB"/>
      </x:font>
      <x:fill>
        <x:patternFill patternType="solid">
          <x:bgColor rgb="FFE8F0FE"/>
        </x:patternFill>
      </x:fill>
    </x:dxf>
    <x:dxf>
      <x:font>
        <x:b/>
        <x:color rgb="FF137333"/>
      </x:font>
      <x:fill>
        <x:patternFill patternType="solid">
          <x:bgColor rgb="FFDFF3E5"/>
        </x:patternFill>
      </x:fill>
    </x:dxf>
    <x:dxf>
      <x:font>
        <x:color rgb="FF59636E"/>
      </x:font>
      <x:fill>
        <x:patternFill patternType="solid">
          <x:bgColor rgb="FFF2F4F7"/>
        </x:patternFill>
      </x:fill>
    </x:dxf>
    <x:dxf>
      <x:font>
        <x:b/>
        <x:color rgb="FFA23B32"/>
      </x:font>
      <x:fill>
        <x:patternFill patternType="solid">
          <x:bgColor rgb="FFFCE8E6"/>
        </x:patternFill>
      </x:fill>
    </x:dxf>
    <x:dxf>
      <x:font>
        <x:b/>
        <x:color rgb="FF8A5B00"/>
      </x:font>
      <x:fill>
        <x:patternFill patternType="solid">
          <x:bgColor rgb="FFFFF4D6"/>
        </x:patternFill>
      </x:fill>
    </x:dxf>
    <x:dxf>
      <x:font>
        <x:color rgb="FFA23B32"/>
      </x:font>
      <x:fill>
        <x:patternFill patternType="solid">
          <x:bgColor rgb="FFFCE8E6"/>
        </x:patternFill>
      </x:fill>
    </x:dxf>
    <x:dxf>
      <x:font>
        <x:color rgb="FF8A5B00"/>
      </x:font>
      <x:fill>
        <x:patternFill patternType="solid">
          <x:bgColor rgb="FFFFF4D6"/>
        </x:patternFill>
      </x:fill>
    </x:dxf>
    <x:dxf>
      <x:font>
        <x:b/>
        <x:color rgb="FFA23B32"/>
      </x:font>
      <x:fill>
        <x:patternFill patternType="solid">
          <x:bgColor rgb="FFFCE8E6"/>
        </x:patternFill>
      </x:fill>
    </x:dxf>
    <x:dxf>
      <x:font>
        <x:b/>
        <x:color rgb="FFA23B32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753a18d7f4509" /><Relationship Type="http://schemas.openxmlformats.org/officeDocument/2006/relationships/theme" Target="/xl/theme/theme1.xml" Id="R3e6c655ff2ca49c9" /><Relationship Type="http://schemas.openxmlformats.org/officeDocument/2006/relationships/sharedStrings" Target="/xl/sharedStrings.xml" Id="Rafdec450ec3f4223" /><Relationship Type="http://schemas.openxmlformats.org/officeDocument/2006/relationships/worksheet" Target="/xl/worksheets/sheet1.xml" Id="Rda1dc7ce2a5c4488" /><Relationship Type="http://schemas.openxmlformats.org/officeDocument/2006/relationships/worksheet" Target="/xl/worksheets/sheet2.xml" Id="R01c3c62684cf4973" /><Relationship Type="http://schemas.openxmlformats.org/officeDocument/2006/relationships/worksheet" Target="/xl/worksheets/sheet3.xml" Id="Rec51350d11404c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30f957ef634a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Remaining Items by Category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Remaining</c:v>
          </c:tx>
          <c:dLbls/>
          <c:cat>
            <c:strRef>
              <c:f>'Dashboard'!$J$28:$J$34</c:f>
              <c:strCache>
                <c:ptCount val="0"/>
              </c:strCache>
            </c:strRef>
          </c:cat>
          <c:val>
            <c:numRef>
              <c:f>'Dashboard'!$K$28:$K$34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30f957ef634a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lectionsTracker" displayName="SelectionsTracker" ref="A7:P65" headerRowCount="1" totalsRowCount="0" totalsRowShown="0">
  <x:autoFilter ref="A7:P65"/>
  <x:tableColumns count="16">
    <x:tableColumn id="1" name="Done"/>
    <x:tableColumn id="2" name="Category"/>
    <x:tableColumn id="3" name="Item"/>
    <x:tableColumn id="4" name="Priority"/>
    <x:tableColumn id="5" name="Owner / Next Action"/>
    <x:tableColumn id="6" name="Decision Due"/>
    <x:tableColumn id="7" name="Selected Product"/>
    <x:tableColumn id="8" name="Product Link / Model"/>
    <x:tableColumn id="9" name="Supplier Name"/>
    <x:tableColumn id="10" name="Supplier Contact"/>
    <x:tableColumn id="11" name="Price (CAD)"/>
    <x:tableColumn id="12" name="Ordered"/>
    <x:tableColumn id="13" name="Delivered"/>
    <x:tableColumn id="14" name="Installed"/>
    <x:tableColumn id="15" name="Lead Time"/>
    <x:tableColumn id="16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e7cb71cc740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b195638e7f442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18.75" hidden="0" customWidth="1"/>
    <x:col min="3" max="3" width="27.5" hidden="0" customWidth="1"/>
    <x:col min="4" max="4" width="11.880000114440918" hidden="0" customWidth="1"/>
    <x:col min="5" max="5" width="18.75" hidden="0" customWidth="1"/>
    <x:col min="6" max="6" width="14" hidden="0" customWidth="1"/>
    <x:col min="7" max="7" width="27.5" hidden="0" customWidth="1"/>
    <x:col min="8" max="8" width="23.75" hidden="0" customWidth="1"/>
    <x:col min="9" max="9" width="21.25" hidden="0" customWidth="1"/>
    <x:col min="10" max="10" width="22.5" hidden="0" customWidth="1"/>
    <x:col min="11" max="11" width="13.75" hidden="0" customWidth="1"/>
    <x:col min="12" max="12" width="11.880000114440918" hidden="0" customWidth="1"/>
    <x:col min="13" max="13" width="11.880000114440918" hidden="0" customWidth="1"/>
    <x:col min="14" max="14" width="11.880000114440918" hidden="0" customWidth="1"/>
    <x:col min="15" max="15" width="13.130000114440918" hidden="0" customWidth="1"/>
    <x:col min="16" max="16" width="32.5" hidden="0" customWidth="1"/>
  </x:cols>
  <x:sheetData>
    <x:row r="1" ht="25.5" customHeight="1">
      <x:c r="A1" s="116" t="str">
        <x:v>Renovation Selections Tracker</x:v>
      </x:c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  <x:c r="M1" s="117"/>
      <x:c r="N1" s="117"/>
      <x:c r="O1" s="117"/>
      <x:c r="P1" s="117"/>
    </x:row>
    <x:row r="2" ht="18" customHeight="1">
      <x:c r="A2" s="118" t="str">
        <x:v>Track selections, owners, deadlines, suppliers, ordering, delivery, installation, and budget.</x:v>
      </x:c>
      <x:c r="B2" s="117"/>
      <x:c r="C2" s="117"/>
      <x:c r="D2" s="117"/>
      <x:c r="E2" s="117"/>
      <x:c r="F2" s="117"/>
      <x:c r="G2" s="117"/>
      <x:c r="H2" s="117"/>
      <x:c r="I2" s="117"/>
      <x:c r="J2" s="117"/>
      <x:c r="K2" s="117"/>
      <x:c r="L2" s="117"/>
      <x:c r="M2" s="117"/>
      <x:c r="N2" s="117"/>
      <x:c r="O2" s="117"/>
      <x:c r="P2" s="117"/>
    </x:row>
    <x:row r="3">
      <x:c r="A3" s="117"/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  <x:c r="P3" s="117"/>
    </x:row>
    <x:row r="4">
      <x:c r="A4" s="119" t="str">
        <x:v>Total Items</x:v>
      </x:c>
      <x:c r="B4" s="120"/>
      <x:c r="C4" s="120" t="str">
        <x:v>Not Selected</x:v>
      </x:c>
      <x:c r="D4" s="120"/>
      <x:c r="E4" s="120" t="str">
        <x:v>Due Soon</x:v>
      </x:c>
      <x:c r="F4" s="120"/>
      <x:c r="G4" s="120" t="str">
        <x:v>Overdue</x:v>
      </x:c>
      <x:c r="H4" s="120"/>
      <x:c r="I4" s="120" t="str">
        <x:v>Ordered Not Delivered</x:v>
      </x:c>
      <x:c r="J4" s="120"/>
      <x:c r="K4" s="120" t="str">
        <x:v>Installed</x:v>
      </x:c>
      <x:c r="L4" s="120"/>
      <x:c r="M4" s="120" t="str">
        <x:v>Estimated Total</x:v>
      </x:c>
      <x:c r="N4" s="120"/>
      <x:c r="O4" s="120" t="str">
        <x:v>Open Items</x:v>
      </x:c>
      <x:c r="P4" s="121"/>
    </x:row>
    <x:row r="5">
      <x:c r="A5" s="122" t="n">
        <x:f>COUNTA(C8:C65)</x:f>
        <x:v>58</x:v>
      </x:c>
      <x:c r="B5" s="123"/>
      <x:c r="C5" s="123" t="n">
        <x:f>COUNTBLANK(G8:G65)</x:f>
        <x:v>58</x:v>
      </x:c>
      <x:c r="D5" s="123"/>
      <x:c r="E5" s="123" t="n">
        <x:f>COUNTIFS(F8:F65,"&gt;="&amp;TODAY(),F8:F65,"&lt;="&amp;TODAY()+7,A8:A65,"☐")</x:f>
        <x:v>0</x:v>
      </x:c>
      <x:c r="F5" s="123"/>
      <x:c r="G5" s="123" t="n">
        <x:f>COUNTIFS(F8:F65,"&lt;"&amp;TODAY(),F8:F65,"&lt;&gt;",A8:A65,"☐")</x:f>
        <x:v>0</x:v>
      </x:c>
      <x:c r="H5" s="123"/>
      <x:c r="I5" s="123" t="n">
        <x:f>COUNTIFS(L8:L65,"Yes",M8:M65,"&lt;&gt;Yes")</x:f>
        <x:v>0</x:v>
      </x:c>
      <x:c r="J5" s="123"/>
      <x:c r="K5" s="123" t="n">
        <x:f>COUNTIF(N8:N65,"Yes")</x:f>
        <x:v>0</x:v>
      </x:c>
      <x:c r="L5" s="123"/>
      <x:c r="M5" s="124" t="n">
        <x:f>SUM(K8:K65)</x:f>
        <x:v>0</x:v>
      </x:c>
      <x:c r="N5" s="124"/>
      <x:c r="O5" s="123" t="n">
        <x:f>COUNTIF(A8:A65,"☐")</x:f>
        <x:v>58</x:v>
      </x:c>
      <x:c r="P5" s="125"/>
    </x:row>
    <x:row r="6">
      <x:c r="A6" s="117"/>
      <x:c r="B6" s="117"/>
      <x:c r="C6" s="117"/>
      <x:c r="D6" s="117"/>
      <x:c r="E6" s="117"/>
      <x:c r="F6" s="117"/>
      <x:c r="G6" s="117"/>
      <x:c r="H6" s="117"/>
      <x:c r="I6" s="117"/>
      <x:c r="J6" s="117"/>
      <x:c r="K6" s="117"/>
      <x:c r="L6" s="117"/>
      <x:c r="M6" s="117"/>
      <x:c r="N6" s="117"/>
      <x:c r="O6" s="117"/>
      <x:c r="P6" s="117"/>
    </x:row>
    <x:row r="7" ht="21" customHeight="1">
      <x:c r="A7" s="126" t="str">
        <x:v>Done</x:v>
      </x:c>
      <x:c r="B7" s="127" t="str">
        <x:v>Category</x:v>
      </x:c>
      <x:c r="C7" s="127" t="str">
        <x:v>Item</x:v>
      </x:c>
      <x:c r="D7" s="127" t="str">
        <x:v>Priority</x:v>
      </x:c>
      <x:c r="E7" s="127" t="str">
        <x:v>Owner / Next Action</x:v>
      </x:c>
      <x:c r="F7" s="127" t="str">
        <x:v>Decision Due</x:v>
      </x:c>
      <x:c r="G7" s="127" t="str">
        <x:v>Selected Product</x:v>
      </x:c>
      <x:c r="H7" s="127" t="str">
        <x:v>Product Link / Model</x:v>
      </x:c>
      <x:c r="I7" s="127" t="str">
        <x:v>Supplier Name</x:v>
      </x:c>
      <x:c r="J7" s="127" t="str">
        <x:v>Supplier Contact</x:v>
      </x:c>
      <x:c r="K7" s="127" t="str">
        <x:v>Price (CAD)</x:v>
      </x:c>
      <x:c r="L7" s="127" t="str">
        <x:v>Ordered</x:v>
      </x:c>
      <x:c r="M7" s="127" t="str">
        <x:v>Delivered</x:v>
      </x:c>
      <x:c r="N7" s="127" t="str">
        <x:v>Installed</x:v>
      </x:c>
      <x:c r="O7" s="127" t="str">
        <x:v>Lead Time</x:v>
      </x:c>
      <x:c r="P7" s="128" t="str">
        <x:v>Notes</x:v>
      </x:c>
    </x:row>
    <x:row r="8" ht="22.5" customHeight="1">
      <x:c r="A8" s="129" t="str">
        <x:v>☐</x:v>
      </x:c>
      <x:c r="B8" s="130" t="str">
        <x:v>Bathroom</x:v>
      </x:c>
      <x:c r="C8" s="130" t="str">
        <x:v>Bathroom Floor Tile</x:v>
      </x:c>
      <x:c r="D8" s="130"/>
      <x:c r="E8" s="130"/>
      <x:c r="F8" s="131"/>
      <x:c r="G8" s="130"/>
      <x:c r="H8" s="130"/>
      <x:c r="I8" s="130"/>
      <x:c r="J8" s="130"/>
      <x:c r="K8" s="132"/>
      <x:c r="L8" s="130" t="str">
        <x:v>No</x:v>
      </x:c>
      <x:c r="M8" s="130" t="str">
        <x:v>No</x:v>
      </x:c>
      <x:c r="N8" s="130" t="str">
        <x:v>No</x:v>
      </x:c>
      <x:c r="O8" s="130"/>
      <x:c r="P8" s="133"/>
    </x:row>
    <x:row r="9" ht="22.5" customHeight="1">
      <x:c r="A9" s="134" t="str">
        <x:v>☐</x:v>
      </x:c>
      <x:c r="B9" s="135" t="str">
        <x:v>Bathroom</x:v>
      </x:c>
      <x:c r="C9" s="135" t="str">
        <x:v>Shower Wall Tile</x:v>
      </x:c>
      <x:c r="D9" s="135"/>
      <x:c r="E9" s="135"/>
      <x:c r="F9" s="136"/>
      <x:c r="G9" s="135"/>
      <x:c r="H9" s="135"/>
      <x:c r="I9" s="135"/>
      <x:c r="J9" s="135"/>
      <x:c r="K9" s="137"/>
      <x:c r="L9" s="135" t="str">
        <x:v>No</x:v>
      </x:c>
      <x:c r="M9" s="135" t="str">
        <x:v>No</x:v>
      </x:c>
      <x:c r="N9" s="135" t="str">
        <x:v>No</x:v>
      </x:c>
      <x:c r="O9" s="135"/>
      <x:c r="P9" s="138"/>
    </x:row>
    <x:row r="10" ht="22.5" customHeight="1">
      <x:c r="A10" s="134" t="str">
        <x:v>☐</x:v>
      </x:c>
      <x:c r="B10" s="135" t="str">
        <x:v>Bathroom</x:v>
      </x:c>
      <x:c r="C10" s="135" t="str">
        <x:v>Shower Niche Tile</x:v>
      </x:c>
      <x:c r="D10" s="135"/>
      <x:c r="E10" s="135"/>
      <x:c r="F10" s="136"/>
      <x:c r="G10" s="135"/>
      <x:c r="H10" s="135"/>
      <x:c r="I10" s="135"/>
      <x:c r="J10" s="135"/>
      <x:c r="K10" s="137"/>
      <x:c r="L10" s="135" t="str">
        <x:v>No</x:v>
      </x:c>
      <x:c r="M10" s="135" t="str">
        <x:v>No</x:v>
      </x:c>
      <x:c r="N10" s="135" t="str">
        <x:v>No</x:v>
      </x:c>
      <x:c r="O10" s="135"/>
      <x:c r="P10" s="138"/>
    </x:row>
    <x:row r="11" ht="22.5" customHeight="1">
      <x:c r="A11" s="134" t="str">
        <x:v>☐</x:v>
      </x:c>
      <x:c r="B11" s="135" t="str">
        <x:v>Bathroom</x:v>
      </x:c>
      <x:c r="C11" s="135" t="str">
        <x:v>Shower Glass</x:v>
      </x:c>
      <x:c r="D11" s="135"/>
      <x:c r="E11" s="135"/>
      <x:c r="F11" s="136"/>
      <x:c r="G11" s="135"/>
      <x:c r="H11" s="135"/>
      <x:c r="I11" s="135"/>
      <x:c r="J11" s="135"/>
      <x:c r="K11" s="137"/>
      <x:c r="L11" s="135" t="str">
        <x:v>No</x:v>
      </x:c>
      <x:c r="M11" s="135" t="str">
        <x:v>No</x:v>
      </x:c>
      <x:c r="N11" s="135" t="str">
        <x:v>No</x:v>
      </x:c>
      <x:c r="O11" s="135"/>
      <x:c r="P11" s="138"/>
    </x:row>
    <x:row r="12" ht="22.5" customHeight="1">
      <x:c r="A12" s="134" t="str">
        <x:v>☐</x:v>
      </x:c>
      <x:c r="B12" s="135" t="str">
        <x:v>Bathroom</x:v>
      </x:c>
      <x:c r="C12" s="135" t="str">
        <x:v>Shower Base</x:v>
      </x:c>
      <x:c r="D12" s="135"/>
      <x:c r="E12" s="135"/>
      <x:c r="F12" s="136"/>
      <x:c r="G12" s="135"/>
      <x:c r="H12" s="135"/>
      <x:c r="I12" s="135"/>
      <x:c r="J12" s="135"/>
      <x:c r="K12" s="137"/>
      <x:c r="L12" s="135" t="str">
        <x:v>No</x:v>
      </x:c>
      <x:c r="M12" s="135" t="str">
        <x:v>No</x:v>
      </x:c>
      <x:c r="N12" s="135" t="str">
        <x:v>No</x:v>
      </x:c>
      <x:c r="O12" s="135"/>
      <x:c r="P12" s="138"/>
    </x:row>
    <x:row r="13" ht="22.5" customHeight="1">
      <x:c r="A13" s="134" t="str">
        <x:v>☐</x:v>
      </x:c>
      <x:c r="B13" s="135" t="str">
        <x:v>Bathroom</x:v>
      </x:c>
      <x:c r="C13" s="135" t="str">
        <x:v>Shower Faucet &amp; Trim Kit</x:v>
      </x:c>
      <x:c r="D13" s="135"/>
      <x:c r="E13" s="135"/>
      <x:c r="F13" s="136"/>
      <x:c r="G13" s="135"/>
      <x:c r="H13" s="135"/>
      <x:c r="I13" s="135"/>
      <x:c r="J13" s="135"/>
      <x:c r="K13" s="137"/>
      <x:c r="L13" s="135" t="str">
        <x:v>No</x:v>
      </x:c>
      <x:c r="M13" s="135" t="str">
        <x:v>No</x:v>
      </x:c>
      <x:c r="N13" s="135" t="str">
        <x:v>No</x:v>
      </x:c>
      <x:c r="O13" s="135"/>
      <x:c r="P13" s="138"/>
    </x:row>
    <x:row r="14" ht="22.5" customHeight="1">
      <x:c r="A14" s="134" t="str">
        <x:v>☐</x:v>
      </x:c>
      <x:c r="B14" s="135" t="str">
        <x:v>Bathroom</x:v>
      </x:c>
      <x:c r="C14" s="135" t="str">
        <x:v>Shower Head</x:v>
      </x:c>
      <x:c r="D14" s="135"/>
      <x:c r="E14" s="135"/>
      <x:c r="F14" s="136"/>
      <x:c r="G14" s="135"/>
      <x:c r="H14" s="135"/>
      <x:c r="I14" s="135"/>
      <x:c r="J14" s="135"/>
      <x:c r="K14" s="137"/>
      <x:c r="L14" s="135" t="str">
        <x:v>No</x:v>
      </x:c>
      <x:c r="M14" s="135" t="str">
        <x:v>No</x:v>
      </x:c>
      <x:c r="N14" s="135" t="str">
        <x:v>No</x:v>
      </x:c>
      <x:c r="O14" s="135"/>
      <x:c r="P14" s="138"/>
    </x:row>
    <x:row r="15" ht="22.5" customHeight="1">
      <x:c r="A15" s="134" t="str">
        <x:v>☐</x:v>
      </x:c>
      <x:c r="B15" s="135" t="str">
        <x:v>Bathroom</x:v>
      </x:c>
      <x:c r="C15" s="135" t="str">
        <x:v>Hand Shower</x:v>
      </x:c>
      <x:c r="D15" s="135"/>
      <x:c r="E15" s="135"/>
      <x:c r="F15" s="136"/>
      <x:c r="G15" s="135"/>
      <x:c r="H15" s="135"/>
      <x:c r="I15" s="135"/>
      <x:c r="J15" s="135"/>
      <x:c r="K15" s="137"/>
      <x:c r="L15" s="135" t="str">
        <x:v>No</x:v>
      </x:c>
      <x:c r="M15" s="135" t="str">
        <x:v>No</x:v>
      </x:c>
      <x:c r="N15" s="135" t="str">
        <x:v>No</x:v>
      </x:c>
      <x:c r="O15" s="135"/>
      <x:c r="P15" s="138"/>
    </x:row>
    <x:row r="16" ht="22.5" customHeight="1">
      <x:c r="A16" s="134" t="str">
        <x:v>☐</x:v>
      </x:c>
      <x:c r="B16" s="135" t="str">
        <x:v>Bathroom</x:v>
      </x:c>
      <x:c r="C16" s="135" t="str">
        <x:v>Shower Drain</x:v>
      </x:c>
      <x:c r="D16" s="135"/>
      <x:c r="E16" s="135"/>
      <x:c r="F16" s="136"/>
      <x:c r="G16" s="135"/>
      <x:c r="H16" s="135"/>
      <x:c r="I16" s="135"/>
      <x:c r="J16" s="135"/>
      <x:c r="K16" s="137"/>
      <x:c r="L16" s="135" t="str">
        <x:v>No</x:v>
      </x:c>
      <x:c r="M16" s="135" t="str">
        <x:v>No</x:v>
      </x:c>
      <x:c r="N16" s="135" t="str">
        <x:v>No</x:v>
      </x:c>
      <x:c r="O16" s="135"/>
      <x:c r="P16" s="138"/>
    </x:row>
    <x:row r="17" ht="22.5" customHeight="1">
      <x:c r="A17" s="134" t="str">
        <x:v>☐</x:v>
      </x:c>
      <x:c r="B17" s="135" t="str">
        <x:v>Bathroom</x:v>
      </x:c>
      <x:c r="C17" s="135" t="str">
        <x:v>Vanity</x:v>
      </x:c>
      <x:c r="D17" s="135"/>
      <x:c r="E17" s="135"/>
      <x:c r="F17" s="136"/>
      <x:c r="G17" s="135"/>
      <x:c r="H17" s="135"/>
      <x:c r="I17" s="135"/>
      <x:c r="J17" s="135"/>
      <x:c r="K17" s="137"/>
      <x:c r="L17" s="135" t="str">
        <x:v>No</x:v>
      </x:c>
      <x:c r="M17" s="135" t="str">
        <x:v>No</x:v>
      </x:c>
      <x:c r="N17" s="135" t="str">
        <x:v>No</x:v>
      </x:c>
      <x:c r="O17" s="135"/>
      <x:c r="P17" s="138"/>
    </x:row>
    <x:row r="18" ht="22.5" customHeight="1">
      <x:c r="A18" s="134" t="str">
        <x:v>☐</x:v>
      </x:c>
      <x:c r="B18" s="135" t="str">
        <x:v>Bathroom</x:v>
      </x:c>
      <x:c r="C18" s="135" t="str">
        <x:v>Vanity Countertop</x:v>
      </x:c>
      <x:c r="D18" s="135"/>
      <x:c r="E18" s="135"/>
      <x:c r="F18" s="136"/>
      <x:c r="G18" s="135"/>
      <x:c r="H18" s="135"/>
      <x:c r="I18" s="135"/>
      <x:c r="J18" s="135"/>
      <x:c r="K18" s="137"/>
      <x:c r="L18" s="135" t="str">
        <x:v>No</x:v>
      </x:c>
      <x:c r="M18" s="135" t="str">
        <x:v>No</x:v>
      </x:c>
      <x:c r="N18" s="135" t="str">
        <x:v>No</x:v>
      </x:c>
      <x:c r="O18" s="135"/>
      <x:c r="P18" s="138"/>
    </x:row>
    <x:row r="19" ht="22.5" customHeight="1">
      <x:c r="A19" s="134" t="str">
        <x:v>☐</x:v>
      </x:c>
      <x:c r="B19" s="135" t="str">
        <x:v>Bathroom</x:v>
      </x:c>
      <x:c r="C19" s="135" t="str">
        <x:v>Bathroom Sink</x:v>
      </x:c>
      <x:c r="D19" s="135"/>
      <x:c r="E19" s="135"/>
      <x:c r="F19" s="136"/>
      <x:c r="G19" s="135"/>
      <x:c r="H19" s="135"/>
      <x:c r="I19" s="135"/>
      <x:c r="J19" s="135"/>
      <x:c r="K19" s="137"/>
      <x:c r="L19" s="135" t="str">
        <x:v>No</x:v>
      </x:c>
      <x:c r="M19" s="135" t="str">
        <x:v>No</x:v>
      </x:c>
      <x:c r="N19" s="135" t="str">
        <x:v>No</x:v>
      </x:c>
      <x:c r="O19" s="135"/>
      <x:c r="P19" s="138"/>
    </x:row>
    <x:row r="20" ht="22.5" customHeight="1">
      <x:c r="A20" s="134" t="str">
        <x:v>☐</x:v>
      </x:c>
      <x:c r="B20" s="135" t="str">
        <x:v>Bathroom</x:v>
      </x:c>
      <x:c r="C20" s="135" t="str">
        <x:v>Bathroom Faucet</x:v>
      </x:c>
      <x:c r="D20" s="135"/>
      <x:c r="E20" s="135"/>
      <x:c r="F20" s="136"/>
      <x:c r="G20" s="135"/>
      <x:c r="H20" s="135"/>
      <x:c r="I20" s="135"/>
      <x:c r="J20" s="135"/>
      <x:c r="K20" s="137"/>
      <x:c r="L20" s="135" t="str">
        <x:v>No</x:v>
      </x:c>
      <x:c r="M20" s="135" t="str">
        <x:v>No</x:v>
      </x:c>
      <x:c r="N20" s="135" t="str">
        <x:v>No</x:v>
      </x:c>
      <x:c r="O20" s="135"/>
      <x:c r="P20" s="138"/>
    </x:row>
    <x:row r="21" ht="22.5" customHeight="1">
      <x:c r="A21" s="134" t="str">
        <x:v>☐</x:v>
      </x:c>
      <x:c r="B21" s="135" t="str">
        <x:v>Bathroom</x:v>
      </x:c>
      <x:c r="C21" s="135" t="str">
        <x:v>Mirror</x:v>
      </x:c>
      <x:c r="D21" s="135"/>
      <x:c r="E21" s="135"/>
      <x:c r="F21" s="136"/>
      <x:c r="G21" s="135"/>
      <x:c r="H21" s="135"/>
      <x:c r="I21" s="135"/>
      <x:c r="J21" s="135"/>
      <x:c r="K21" s="137"/>
      <x:c r="L21" s="135" t="str">
        <x:v>No</x:v>
      </x:c>
      <x:c r="M21" s="135" t="str">
        <x:v>No</x:v>
      </x:c>
      <x:c r="N21" s="135" t="str">
        <x:v>No</x:v>
      </x:c>
      <x:c r="O21" s="135"/>
      <x:c r="P21" s="138"/>
    </x:row>
    <x:row r="22" ht="22.5" customHeight="1">
      <x:c r="A22" s="134" t="str">
        <x:v>☐</x:v>
      </x:c>
      <x:c r="B22" s="135" t="str">
        <x:v>Bathroom</x:v>
      </x:c>
      <x:c r="C22" s="135" t="str">
        <x:v>Vanity Light</x:v>
      </x:c>
      <x:c r="D22" s="135"/>
      <x:c r="E22" s="135"/>
      <x:c r="F22" s="136"/>
      <x:c r="G22" s="135"/>
      <x:c r="H22" s="135"/>
      <x:c r="I22" s="135"/>
      <x:c r="J22" s="135"/>
      <x:c r="K22" s="137"/>
      <x:c r="L22" s="135" t="str">
        <x:v>No</x:v>
      </x:c>
      <x:c r="M22" s="135" t="str">
        <x:v>No</x:v>
      </x:c>
      <x:c r="N22" s="135" t="str">
        <x:v>No</x:v>
      </x:c>
      <x:c r="O22" s="135"/>
      <x:c r="P22" s="138"/>
    </x:row>
    <x:row r="23" ht="22.5" customHeight="1">
      <x:c r="A23" s="134" t="str">
        <x:v>☐</x:v>
      </x:c>
      <x:c r="B23" s="135" t="str">
        <x:v>Bathroom</x:v>
      </x:c>
      <x:c r="C23" s="135" t="str">
        <x:v>Toilet</x:v>
      </x:c>
      <x:c r="D23" s="135"/>
      <x:c r="E23" s="135"/>
      <x:c r="F23" s="136"/>
      <x:c r="G23" s="135"/>
      <x:c r="H23" s="135"/>
      <x:c r="I23" s="135"/>
      <x:c r="J23" s="135"/>
      <x:c r="K23" s="137"/>
      <x:c r="L23" s="135" t="str">
        <x:v>No</x:v>
      </x:c>
      <x:c r="M23" s="135" t="str">
        <x:v>No</x:v>
      </x:c>
      <x:c r="N23" s="135" t="str">
        <x:v>No</x:v>
      </x:c>
      <x:c r="O23" s="135"/>
      <x:c r="P23" s="138"/>
    </x:row>
    <x:row r="24" ht="22.5" customHeight="1">
      <x:c r="A24" s="134" t="str">
        <x:v>☐</x:v>
      </x:c>
      <x:c r="B24" s="135" t="str">
        <x:v>Bathroom</x:v>
      </x:c>
      <x:c r="C24" s="135" t="str">
        <x:v>Exhaust Fan</x:v>
      </x:c>
      <x:c r="D24" s="135"/>
      <x:c r="E24" s="135"/>
      <x:c r="F24" s="136"/>
      <x:c r="G24" s="135"/>
      <x:c r="H24" s="135"/>
      <x:c r="I24" s="135"/>
      <x:c r="J24" s="135"/>
      <x:c r="K24" s="137"/>
      <x:c r="L24" s="135" t="str">
        <x:v>No</x:v>
      </x:c>
      <x:c r="M24" s="135" t="str">
        <x:v>No</x:v>
      </x:c>
      <x:c r="N24" s="135" t="str">
        <x:v>No</x:v>
      </x:c>
      <x:c r="O24" s="135"/>
      <x:c r="P24" s="138"/>
    </x:row>
    <x:row r="25" ht="22.5" customHeight="1">
      <x:c r="A25" s="134" t="str">
        <x:v>☐</x:v>
      </x:c>
      <x:c r="B25" s="135" t="str">
        <x:v>Bathroom</x:v>
      </x:c>
      <x:c r="C25" s="135" t="str">
        <x:v>Towel Bar</x:v>
      </x:c>
      <x:c r="D25" s="135"/>
      <x:c r="E25" s="135"/>
      <x:c r="F25" s="136"/>
      <x:c r="G25" s="135"/>
      <x:c r="H25" s="135"/>
      <x:c r="I25" s="135"/>
      <x:c r="J25" s="135"/>
      <x:c r="K25" s="137"/>
      <x:c r="L25" s="135" t="str">
        <x:v>No</x:v>
      </x:c>
      <x:c r="M25" s="135" t="str">
        <x:v>No</x:v>
      </x:c>
      <x:c r="N25" s="135" t="str">
        <x:v>No</x:v>
      </x:c>
      <x:c r="O25" s="135"/>
      <x:c r="P25" s="138"/>
    </x:row>
    <x:row r="26" ht="22.5" customHeight="1">
      <x:c r="A26" s="134" t="str">
        <x:v>☐</x:v>
      </x:c>
      <x:c r="B26" s="135" t="str">
        <x:v>Bathroom</x:v>
      </x:c>
      <x:c r="C26" s="135" t="str">
        <x:v>Toilet Paper Holder</x:v>
      </x:c>
      <x:c r="D26" s="135"/>
      <x:c r="E26" s="135"/>
      <x:c r="F26" s="136"/>
      <x:c r="G26" s="135"/>
      <x:c r="H26" s="135"/>
      <x:c r="I26" s="135"/>
      <x:c r="J26" s="135"/>
      <x:c r="K26" s="137"/>
      <x:c r="L26" s="135" t="str">
        <x:v>No</x:v>
      </x:c>
      <x:c r="M26" s="135" t="str">
        <x:v>No</x:v>
      </x:c>
      <x:c r="N26" s="135" t="str">
        <x:v>No</x:v>
      </x:c>
      <x:c r="O26" s="135"/>
      <x:c r="P26" s="138"/>
    </x:row>
    <x:row r="27" ht="22.5" customHeight="1">
      <x:c r="A27" s="134" t="str">
        <x:v>☐</x:v>
      </x:c>
      <x:c r="B27" s="135" t="str">
        <x:v>Bathroom</x:v>
      </x:c>
      <x:c r="C27" s="135" t="str">
        <x:v>Robe Hook</x:v>
      </x:c>
      <x:c r="D27" s="135"/>
      <x:c r="E27" s="135"/>
      <x:c r="F27" s="136"/>
      <x:c r="G27" s="135"/>
      <x:c r="H27" s="135"/>
      <x:c r="I27" s="135"/>
      <x:c r="J27" s="135"/>
      <x:c r="K27" s="137"/>
      <x:c r="L27" s="135" t="str">
        <x:v>No</x:v>
      </x:c>
      <x:c r="M27" s="135" t="str">
        <x:v>No</x:v>
      </x:c>
      <x:c r="N27" s="135" t="str">
        <x:v>No</x:v>
      </x:c>
      <x:c r="O27" s="135"/>
      <x:c r="P27" s="138"/>
    </x:row>
    <x:row r="28" ht="22.5" customHeight="1">
      <x:c r="A28" s="134" t="str">
        <x:v>☐</x:v>
      </x:c>
      <x:c r="B28" s="135" t="str">
        <x:v>Bathroom</x:v>
      </x:c>
      <x:c r="C28" s="135" t="str">
        <x:v>Bathroom Accessories</x:v>
      </x:c>
      <x:c r="D28" s="135"/>
      <x:c r="E28" s="135"/>
      <x:c r="F28" s="136"/>
      <x:c r="G28" s="135"/>
      <x:c r="H28" s="135"/>
      <x:c r="I28" s="135"/>
      <x:c r="J28" s="135"/>
      <x:c r="K28" s="137"/>
      <x:c r="L28" s="135" t="str">
        <x:v>No</x:v>
      </x:c>
      <x:c r="M28" s="135" t="str">
        <x:v>No</x:v>
      </x:c>
      <x:c r="N28" s="135" t="str">
        <x:v>No</x:v>
      </x:c>
      <x:c r="O28" s="135"/>
      <x:c r="P28" s="138"/>
    </x:row>
    <x:row r="29" ht="22.5" customHeight="1">
      <x:c r="A29" s="134" t="str">
        <x:v>☐</x:v>
      </x:c>
      <x:c r="B29" s="135" t="str">
        <x:v>Kitchen</x:v>
      </x:c>
      <x:c r="C29" s="135" t="str">
        <x:v>Kitchen Cabinets</x:v>
      </x:c>
      <x:c r="D29" s="135"/>
      <x:c r="E29" s="135"/>
      <x:c r="F29" s="136"/>
      <x:c r="G29" s="135"/>
      <x:c r="H29" s="135"/>
      <x:c r="I29" s="135"/>
      <x:c r="J29" s="135"/>
      <x:c r="K29" s="137"/>
      <x:c r="L29" s="135" t="str">
        <x:v>No</x:v>
      </x:c>
      <x:c r="M29" s="135" t="str">
        <x:v>No</x:v>
      </x:c>
      <x:c r="N29" s="135" t="str">
        <x:v>No</x:v>
      </x:c>
      <x:c r="O29" s="135"/>
      <x:c r="P29" s="138"/>
    </x:row>
    <x:row r="30" ht="22.5" customHeight="1">
      <x:c r="A30" s="134" t="str">
        <x:v>☐</x:v>
      </x:c>
      <x:c r="B30" s="135" t="str">
        <x:v>Kitchen</x:v>
      </x:c>
      <x:c r="C30" s="135" t="str">
        <x:v>Cabinet Colour</x:v>
      </x:c>
      <x:c r="D30" s="135"/>
      <x:c r="E30" s="135"/>
      <x:c r="F30" s="136"/>
      <x:c r="G30" s="135"/>
      <x:c r="H30" s="135"/>
      <x:c r="I30" s="135"/>
      <x:c r="J30" s="135"/>
      <x:c r="K30" s="137"/>
      <x:c r="L30" s="135" t="str">
        <x:v>No</x:v>
      </x:c>
      <x:c r="M30" s="135" t="str">
        <x:v>No</x:v>
      </x:c>
      <x:c r="N30" s="135" t="str">
        <x:v>No</x:v>
      </x:c>
      <x:c r="O30" s="135"/>
      <x:c r="P30" s="138"/>
    </x:row>
    <x:row r="31" ht="22.5" customHeight="1">
      <x:c r="A31" s="134" t="str">
        <x:v>☐</x:v>
      </x:c>
      <x:c r="B31" s="135" t="str">
        <x:v>Kitchen</x:v>
      </x:c>
      <x:c r="C31" s="135" t="str">
        <x:v>Cabinet Hardware</x:v>
      </x:c>
      <x:c r="D31" s="135"/>
      <x:c r="E31" s="135"/>
      <x:c r="F31" s="136"/>
      <x:c r="G31" s="135"/>
      <x:c r="H31" s="135"/>
      <x:c r="I31" s="135"/>
      <x:c r="J31" s="135"/>
      <x:c r="K31" s="137"/>
      <x:c r="L31" s="135" t="str">
        <x:v>No</x:v>
      </x:c>
      <x:c r="M31" s="135" t="str">
        <x:v>No</x:v>
      </x:c>
      <x:c r="N31" s="135" t="str">
        <x:v>No</x:v>
      </x:c>
      <x:c r="O31" s="135"/>
      <x:c r="P31" s="138"/>
    </x:row>
    <x:row r="32" ht="22.5" customHeight="1">
      <x:c r="A32" s="134" t="str">
        <x:v>☐</x:v>
      </x:c>
      <x:c r="B32" s="135" t="str">
        <x:v>Kitchen</x:v>
      </x:c>
      <x:c r="C32" s="135" t="str">
        <x:v>Cabinet Handles</x:v>
      </x:c>
      <x:c r="D32" s="135"/>
      <x:c r="E32" s="135"/>
      <x:c r="F32" s="136"/>
      <x:c r="G32" s="135"/>
      <x:c r="H32" s="135"/>
      <x:c r="I32" s="135"/>
      <x:c r="J32" s="135"/>
      <x:c r="K32" s="137"/>
      <x:c r="L32" s="135" t="str">
        <x:v>No</x:v>
      </x:c>
      <x:c r="M32" s="135" t="str">
        <x:v>No</x:v>
      </x:c>
      <x:c r="N32" s="135" t="str">
        <x:v>No</x:v>
      </x:c>
      <x:c r="O32" s="135"/>
      <x:c r="P32" s="138"/>
    </x:row>
    <x:row r="33" ht="22.5" customHeight="1">
      <x:c r="A33" s="134" t="str">
        <x:v>☐</x:v>
      </x:c>
      <x:c r="B33" s="135" t="str">
        <x:v>Kitchen</x:v>
      </x:c>
      <x:c r="C33" s="135" t="str">
        <x:v>Countertop</x:v>
      </x:c>
      <x:c r="D33" s="135"/>
      <x:c r="E33" s="135"/>
      <x:c r="F33" s="136"/>
      <x:c r="G33" s="135"/>
      <x:c r="H33" s="135"/>
      <x:c r="I33" s="135"/>
      <x:c r="J33" s="135"/>
      <x:c r="K33" s="137"/>
      <x:c r="L33" s="135" t="str">
        <x:v>No</x:v>
      </x:c>
      <x:c r="M33" s="135" t="str">
        <x:v>No</x:v>
      </x:c>
      <x:c r="N33" s="135" t="str">
        <x:v>No</x:v>
      </x:c>
      <x:c r="O33" s="135"/>
      <x:c r="P33" s="138"/>
    </x:row>
    <x:row r="34" ht="22.5" customHeight="1">
      <x:c r="A34" s="134" t="str">
        <x:v>☐</x:v>
      </x:c>
      <x:c r="B34" s="135" t="str">
        <x:v>Kitchen</x:v>
      </x:c>
      <x:c r="C34" s="135" t="str">
        <x:v>Backsplash</x:v>
      </x:c>
      <x:c r="D34" s="135"/>
      <x:c r="E34" s="135"/>
      <x:c r="F34" s="136"/>
      <x:c r="G34" s="135"/>
      <x:c r="H34" s="135"/>
      <x:c r="I34" s="135"/>
      <x:c r="J34" s="135"/>
      <x:c r="K34" s="137"/>
      <x:c r="L34" s="135" t="str">
        <x:v>No</x:v>
      </x:c>
      <x:c r="M34" s="135" t="str">
        <x:v>No</x:v>
      </x:c>
      <x:c r="N34" s="135" t="str">
        <x:v>No</x:v>
      </x:c>
      <x:c r="O34" s="135"/>
      <x:c r="P34" s="138"/>
    </x:row>
    <x:row r="35" ht="22.5" customHeight="1">
      <x:c r="A35" s="134" t="str">
        <x:v>☐</x:v>
      </x:c>
      <x:c r="B35" s="135" t="str">
        <x:v>Kitchen</x:v>
      </x:c>
      <x:c r="C35" s="135" t="str">
        <x:v>Kitchen Sink</x:v>
      </x:c>
      <x:c r="D35" s="135"/>
      <x:c r="E35" s="135"/>
      <x:c r="F35" s="136"/>
      <x:c r="G35" s="135"/>
      <x:c r="H35" s="135"/>
      <x:c r="I35" s="135"/>
      <x:c r="J35" s="135"/>
      <x:c r="K35" s="137"/>
      <x:c r="L35" s="135" t="str">
        <x:v>No</x:v>
      </x:c>
      <x:c r="M35" s="135" t="str">
        <x:v>No</x:v>
      </x:c>
      <x:c r="N35" s="135" t="str">
        <x:v>No</x:v>
      </x:c>
      <x:c r="O35" s="135"/>
      <x:c r="P35" s="138"/>
    </x:row>
    <x:row r="36" ht="22.5" customHeight="1">
      <x:c r="A36" s="134" t="str">
        <x:v>☐</x:v>
      </x:c>
      <x:c r="B36" s="135" t="str">
        <x:v>Kitchen</x:v>
      </x:c>
      <x:c r="C36" s="135" t="str">
        <x:v>Kitchen Faucet</x:v>
      </x:c>
      <x:c r="D36" s="135"/>
      <x:c r="E36" s="135"/>
      <x:c r="F36" s="136"/>
      <x:c r="G36" s="135"/>
      <x:c r="H36" s="135"/>
      <x:c r="I36" s="135"/>
      <x:c r="J36" s="135"/>
      <x:c r="K36" s="137"/>
      <x:c r="L36" s="135" t="str">
        <x:v>No</x:v>
      </x:c>
      <x:c r="M36" s="135" t="str">
        <x:v>No</x:v>
      </x:c>
      <x:c r="N36" s="135" t="str">
        <x:v>No</x:v>
      </x:c>
      <x:c r="O36" s="135"/>
      <x:c r="P36" s="138"/>
    </x:row>
    <x:row r="37" ht="22.5" customHeight="1">
      <x:c r="A37" s="134" t="str">
        <x:v>☐</x:v>
      </x:c>
      <x:c r="B37" s="135" t="str">
        <x:v>Kitchen</x:v>
      </x:c>
      <x:c r="C37" s="135" t="str">
        <x:v>Under-Cabinet Lighting</x:v>
      </x:c>
      <x:c r="D37" s="135"/>
      <x:c r="E37" s="135"/>
      <x:c r="F37" s="136"/>
      <x:c r="G37" s="135"/>
      <x:c r="H37" s="135"/>
      <x:c r="I37" s="135"/>
      <x:c r="J37" s="135"/>
      <x:c r="K37" s="137"/>
      <x:c r="L37" s="135" t="str">
        <x:v>No</x:v>
      </x:c>
      <x:c r="M37" s="135" t="str">
        <x:v>No</x:v>
      </x:c>
      <x:c r="N37" s="135" t="str">
        <x:v>No</x:v>
      </x:c>
      <x:c r="O37" s="135"/>
      <x:c r="P37" s="138"/>
    </x:row>
    <x:row r="38" ht="22.5" customHeight="1">
      <x:c r="A38" s="134" t="str">
        <x:v>☐</x:v>
      </x:c>
      <x:c r="B38" s="135" t="str">
        <x:v>Flooring</x:v>
      </x:c>
      <x:c r="C38" s="135" t="str">
        <x:v>Main Flooring</x:v>
      </x:c>
      <x:c r="D38" s="135"/>
      <x:c r="E38" s="135"/>
      <x:c r="F38" s="136"/>
      <x:c r="G38" s="135"/>
      <x:c r="H38" s="135"/>
      <x:c r="I38" s="135"/>
      <x:c r="J38" s="135"/>
      <x:c r="K38" s="137"/>
      <x:c r="L38" s="135" t="str">
        <x:v>No</x:v>
      </x:c>
      <x:c r="M38" s="135" t="str">
        <x:v>No</x:v>
      </x:c>
      <x:c r="N38" s="135" t="str">
        <x:v>No</x:v>
      </x:c>
      <x:c r="O38" s="135"/>
      <x:c r="P38" s="138"/>
    </x:row>
    <x:row r="39" ht="22.5" customHeight="1">
      <x:c r="A39" s="134" t="str">
        <x:v>☐</x:v>
      </x:c>
      <x:c r="B39" s="135" t="str">
        <x:v>Flooring</x:v>
      </x:c>
      <x:c r="C39" s="135" t="str">
        <x:v>Stair Flooring</x:v>
      </x:c>
      <x:c r="D39" s="135"/>
      <x:c r="E39" s="135"/>
      <x:c r="F39" s="136"/>
      <x:c r="G39" s="135"/>
      <x:c r="H39" s="135"/>
      <x:c r="I39" s="135"/>
      <x:c r="J39" s="135"/>
      <x:c r="K39" s="137"/>
      <x:c r="L39" s="135" t="str">
        <x:v>No</x:v>
      </x:c>
      <x:c r="M39" s="135" t="str">
        <x:v>No</x:v>
      </x:c>
      <x:c r="N39" s="135" t="str">
        <x:v>No</x:v>
      </x:c>
      <x:c r="O39" s="135"/>
      <x:c r="P39" s="138"/>
    </x:row>
    <x:row r="40" ht="22.5" customHeight="1">
      <x:c r="A40" s="134" t="str">
        <x:v>☐</x:v>
      </x:c>
      <x:c r="B40" s="135" t="str">
        <x:v>Flooring</x:v>
      </x:c>
      <x:c r="C40" s="135" t="str">
        <x:v>Stair Nosing</x:v>
      </x:c>
      <x:c r="D40" s="135"/>
      <x:c r="E40" s="135"/>
      <x:c r="F40" s="136"/>
      <x:c r="G40" s="135"/>
      <x:c r="H40" s="135"/>
      <x:c r="I40" s="135"/>
      <x:c r="J40" s="135"/>
      <x:c r="K40" s="137"/>
      <x:c r="L40" s="135" t="str">
        <x:v>No</x:v>
      </x:c>
      <x:c r="M40" s="135" t="str">
        <x:v>No</x:v>
      </x:c>
      <x:c r="N40" s="135" t="str">
        <x:v>No</x:v>
      </x:c>
      <x:c r="O40" s="135"/>
      <x:c r="P40" s="138"/>
    </x:row>
    <x:row r="41" ht="22.5" customHeight="1">
      <x:c r="A41" s="134" t="str">
        <x:v>☐</x:v>
      </x:c>
      <x:c r="B41" s="135" t="str">
        <x:v>Flooring</x:v>
      </x:c>
      <x:c r="C41" s="135" t="str">
        <x:v>Floor Transitions</x:v>
      </x:c>
      <x:c r="D41" s="135"/>
      <x:c r="E41" s="135"/>
      <x:c r="F41" s="136"/>
      <x:c r="G41" s="135"/>
      <x:c r="H41" s="135"/>
      <x:c r="I41" s="135"/>
      <x:c r="J41" s="135"/>
      <x:c r="K41" s="137"/>
      <x:c r="L41" s="135" t="str">
        <x:v>No</x:v>
      </x:c>
      <x:c r="M41" s="135" t="str">
        <x:v>No</x:v>
      </x:c>
      <x:c r="N41" s="135" t="str">
        <x:v>No</x:v>
      </x:c>
      <x:c r="O41" s="135"/>
      <x:c r="P41" s="138"/>
    </x:row>
    <x:row r="42" ht="22.5" customHeight="1">
      <x:c r="A42" s="134" t="str">
        <x:v>☐</x:v>
      </x:c>
      <x:c r="B42" s="135" t="str">
        <x:v>Paint</x:v>
      </x:c>
      <x:c r="C42" s="135" t="str">
        <x:v>Wall Colour</x:v>
      </x:c>
      <x:c r="D42" s="135"/>
      <x:c r="E42" s="135"/>
      <x:c r="F42" s="136"/>
      <x:c r="G42" s="135"/>
      <x:c r="H42" s="135"/>
      <x:c r="I42" s="135"/>
      <x:c r="J42" s="135"/>
      <x:c r="K42" s="137"/>
      <x:c r="L42" s="135" t="str">
        <x:v>No</x:v>
      </x:c>
      <x:c r="M42" s="135" t="str">
        <x:v>No</x:v>
      </x:c>
      <x:c r="N42" s="135" t="str">
        <x:v>No</x:v>
      </x:c>
      <x:c r="O42" s="135"/>
      <x:c r="P42" s="138"/>
    </x:row>
    <x:row r="43" ht="22.5" customHeight="1">
      <x:c r="A43" s="134" t="str">
        <x:v>☐</x:v>
      </x:c>
      <x:c r="B43" s="135" t="str">
        <x:v>Paint</x:v>
      </x:c>
      <x:c r="C43" s="135" t="str">
        <x:v>Ceiling Colour</x:v>
      </x:c>
      <x:c r="D43" s="135"/>
      <x:c r="E43" s="135"/>
      <x:c r="F43" s="136"/>
      <x:c r="G43" s="135"/>
      <x:c r="H43" s="135"/>
      <x:c r="I43" s="135"/>
      <x:c r="J43" s="135"/>
      <x:c r="K43" s="137"/>
      <x:c r="L43" s="135" t="str">
        <x:v>No</x:v>
      </x:c>
      <x:c r="M43" s="135" t="str">
        <x:v>No</x:v>
      </x:c>
      <x:c r="N43" s="135" t="str">
        <x:v>No</x:v>
      </x:c>
      <x:c r="O43" s="135"/>
      <x:c r="P43" s="138"/>
    </x:row>
    <x:row r="44" ht="22.5" customHeight="1">
      <x:c r="A44" s="134" t="str">
        <x:v>☐</x:v>
      </x:c>
      <x:c r="B44" s="135" t="str">
        <x:v>Paint</x:v>
      </x:c>
      <x:c r="C44" s="135" t="str">
        <x:v>Trim Colour</x:v>
      </x:c>
      <x:c r="D44" s="135"/>
      <x:c r="E44" s="135"/>
      <x:c r="F44" s="136"/>
      <x:c r="G44" s="135"/>
      <x:c r="H44" s="135"/>
      <x:c r="I44" s="135"/>
      <x:c r="J44" s="135"/>
      <x:c r="K44" s="137"/>
      <x:c r="L44" s="135" t="str">
        <x:v>No</x:v>
      </x:c>
      <x:c r="M44" s="135" t="str">
        <x:v>No</x:v>
      </x:c>
      <x:c r="N44" s="135" t="str">
        <x:v>No</x:v>
      </x:c>
      <x:c r="O44" s="135"/>
      <x:c r="P44" s="138"/>
    </x:row>
    <x:row r="45" ht="22.5" customHeight="1">
      <x:c r="A45" s="134" t="str">
        <x:v>☐</x:v>
      </x:c>
      <x:c r="B45" s="135" t="str">
        <x:v>Paint</x:v>
      </x:c>
      <x:c r="C45" s="135" t="str">
        <x:v>Door Colour</x:v>
      </x:c>
      <x:c r="D45" s="135"/>
      <x:c r="E45" s="135"/>
      <x:c r="F45" s="136"/>
      <x:c r="G45" s="135"/>
      <x:c r="H45" s="135"/>
      <x:c r="I45" s="135"/>
      <x:c r="J45" s="135"/>
      <x:c r="K45" s="137"/>
      <x:c r="L45" s="135" t="str">
        <x:v>No</x:v>
      </x:c>
      <x:c r="M45" s="135" t="str">
        <x:v>No</x:v>
      </x:c>
      <x:c r="N45" s="135" t="str">
        <x:v>No</x:v>
      </x:c>
      <x:c r="O45" s="135"/>
      <x:c r="P45" s="138"/>
    </x:row>
    <x:row r="46" ht="22.5" customHeight="1">
      <x:c r="A46" s="134" t="str">
        <x:v>☐</x:v>
      </x:c>
      <x:c r="B46" s="135" t="str">
        <x:v>Doors &amp; Trim</x:v>
      </x:c>
      <x:c r="C46" s="135" t="str">
        <x:v>Interior Doors</x:v>
      </x:c>
      <x:c r="D46" s="135"/>
      <x:c r="E46" s="135"/>
      <x:c r="F46" s="136"/>
      <x:c r="G46" s="135"/>
      <x:c r="H46" s="135"/>
      <x:c r="I46" s="135"/>
      <x:c r="J46" s="135"/>
      <x:c r="K46" s="137"/>
      <x:c r="L46" s="135" t="str">
        <x:v>No</x:v>
      </x:c>
      <x:c r="M46" s="135" t="str">
        <x:v>No</x:v>
      </x:c>
      <x:c r="N46" s="135" t="str">
        <x:v>No</x:v>
      </x:c>
      <x:c r="O46" s="135"/>
      <x:c r="P46" s="138"/>
    </x:row>
    <x:row r="47" ht="22.5" customHeight="1">
      <x:c r="A47" s="134" t="str">
        <x:v>☐</x:v>
      </x:c>
      <x:c r="B47" s="135" t="str">
        <x:v>Doors &amp; Trim</x:v>
      </x:c>
      <x:c r="C47" s="135" t="str">
        <x:v>Closet Doors</x:v>
      </x:c>
      <x:c r="D47" s="135"/>
      <x:c r="E47" s="135"/>
      <x:c r="F47" s="136"/>
      <x:c r="G47" s="135"/>
      <x:c r="H47" s="135"/>
      <x:c r="I47" s="135"/>
      <x:c r="J47" s="135"/>
      <x:c r="K47" s="137"/>
      <x:c r="L47" s="135" t="str">
        <x:v>No</x:v>
      </x:c>
      <x:c r="M47" s="135" t="str">
        <x:v>No</x:v>
      </x:c>
      <x:c r="N47" s="135" t="str">
        <x:v>No</x:v>
      </x:c>
      <x:c r="O47" s="135"/>
      <x:c r="P47" s="138"/>
    </x:row>
    <x:row r="48" ht="22.5" customHeight="1">
      <x:c r="A48" s="134" t="str">
        <x:v>☐</x:v>
      </x:c>
      <x:c r="B48" s="135" t="str">
        <x:v>Doors &amp; Trim</x:v>
      </x:c>
      <x:c r="C48" s="135" t="str">
        <x:v>Door Handles</x:v>
      </x:c>
      <x:c r="D48" s="135"/>
      <x:c r="E48" s="135"/>
      <x:c r="F48" s="136"/>
      <x:c r="G48" s="135"/>
      <x:c r="H48" s="135"/>
      <x:c r="I48" s="135"/>
      <x:c r="J48" s="135"/>
      <x:c r="K48" s="137"/>
      <x:c r="L48" s="135" t="str">
        <x:v>No</x:v>
      </x:c>
      <x:c r="M48" s="135" t="str">
        <x:v>No</x:v>
      </x:c>
      <x:c r="N48" s="135" t="str">
        <x:v>No</x:v>
      </x:c>
      <x:c r="O48" s="135"/>
      <x:c r="P48" s="138"/>
    </x:row>
    <x:row r="49" ht="22.5" customHeight="1">
      <x:c r="A49" s="134" t="str">
        <x:v>☐</x:v>
      </x:c>
      <x:c r="B49" s="135" t="str">
        <x:v>Doors &amp; Trim</x:v>
      </x:c>
      <x:c r="C49" s="135" t="str">
        <x:v>Hinges</x:v>
      </x:c>
      <x:c r="D49" s="135"/>
      <x:c r="E49" s="135"/>
      <x:c r="F49" s="136"/>
      <x:c r="G49" s="135"/>
      <x:c r="H49" s="135"/>
      <x:c r="I49" s="135"/>
      <x:c r="J49" s="135"/>
      <x:c r="K49" s="137"/>
      <x:c r="L49" s="135" t="str">
        <x:v>No</x:v>
      </x:c>
      <x:c r="M49" s="135" t="str">
        <x:v>No</x:v>
      </x:c>
      <x:c r="N49" s="135" t="str">
        <x:v>No</x:v>
      </x:c>
      <x:c r="O49" s="135"/>
      <x:c r="P49" s="138"/>
    </x:row>
    <x:row r="50" ht="22.5" customHeight="1">
      <x:c r="A50" s="134" t="str">
        <x:v>☐</x:v>
      </x:c>
      <x:c r="B50" s="135" t="str">
        <x:v>Doors &amp; Trim</x:v>
      </x:c>
      <x:c r="C50" s="135" t="str">
        <x:v>Baseboards</x:v>
      </x:c>
      <x:c r="D50" s="135"/>
      <x:c r="E50" s="135"/>
      <x:c r="F50" s="136"/>
      <x:c r="G50" s="135"/>
      <x:c r="H50" s="135"/>
      <x:c r="I50" s="135"/>
      <x:c r="J50" s="135"/>
      <x:c r="K50" s="137"/>
      <x:c r="L50" s="135" t="str">
        <x:v>No</x:v>
      </x:c>
      <x:c r="M50" s="135" t="str">
        <x:v>No</x:v>
      </x:c>
      <x:c r="N50" s="135" t="str">
        <x:v>No</x:v>
      </x:c>
      <x:c r="O50" s="135"/>
      <x:c r="P50" s="138"/>
    </x:row>
    <x:row r="51" ht="22.5" customHeight="1">
      <x:c r="A51" s="134" t="str">
        <x:v>☐</x:v>
      </x:c>
      <x:c r="B51" s="135" t="str">
        <x:v>Doors &amp; Trim</x:v>
      </x:c>
      <x:c r="C51" s="135" t="str">
        <x:v>Baseboard Size</x:v>
      </x:c>
      <x:c r="D51" s="135"/>
      <x:c r="E51" s="135"/>
      <x:c r="F51" s="136"/>
      <x:c r="G51" s="135"/>
      <x:c r="H51" s="135"/>
      <x:c r="I51" s="135"/>
      <x:c r="J51" s="135"/>
      <x:c r="K51" s="137"/>
      <x:c r="L51" s="135" t="str">
        <x:v>No</x:v>
      </x:c>
      <x:c r="M51" s="135" t="str">
        <x:v>No</x:v>
      </x:c>
      <x:c r="N51" s="135" t="str">
        <x:v>No</x:v>
      </x:c>
      <x:c r="O51" s="135"/>
      <x:c r="P51" s="138"/>
    </x:row>
    <x:row r="52" ht="22.5" customHeight="1">
      <x:c r="A52" s="134" t="str">
        <x:v>☐</x:v>
      </x:c>
      <x:c r="B52" s="135" t="str">
        <x:v>Doors &amp; Trim</x:v>
      </x:c>
      <x:c r="C52" s="135" t="str">
        <x:v>Door Casings</x:v>
      </x:c>
      <x:c r="D52" s="135"/>
      <x:c r="E52" s="135"/>
      <x:c r="F52" s="136"/>
      <x:c r="G52" s="135"/>
      <x:c r="H52" s="135"/>
      <x:c r="I52" s="135"/>
      <x:c r="J52" s="135"/>
      <x:c r="K52" s="137"/>
      <x:c r="L52" s="135" t="str">
        <x:v>No</x:v>
      </x:c>
      <x:c r="M52" s="135" t="str">
        <x:v>No</x:v>
      </x:c>
      <x:c r="N52" s="135" t="str">
        <x:v>No</x:v>
      </x:c>
      <x:c r="O52" s="135"/>
      <x:c r="P52" s="138"/>
    </x:row>
    <x:row r="53" ht="22.5" customHeight="1">
      <x:c r="A53" s="134" t="str">
        <x:v>☐</x:v>
      </x:c>
      <x:c r="B53" s="135" t="str">
        <x:v>Doors &amp; Trim</x:v>
      </x:c>
      <x:c r="C53" s="135" t="str">
        <x:v>Window Casings</x:v>
      </x:c>
      <x:c r="D53" s="135"/>
      <x:c r="E53" s="135"/>
      <x:c r="F53" s="136"/>
      <x:c r="G53" s="135"/>
      <x:c r="H53" s="135"/>
      <x:c r="I53" s="135"/>
      <x:c r="J53" s="135"/>
      <x:c r="K53" s="137"/>
      <x:c r="L53" s="135" t="str">
        <x:v>No</x:v>
      </x:c>
      <x:c r="M53" s="135" t="str">
        <x:v>No</x:v>
      </x:c>
      <x:c r="N53" s="135" t="str">
        <x:v>No</x:v>
      </x:c>
      <x:c r="O53" s="135"/>
      <x:c r="P53" s="138"/>
    </x:row>
    <x:row r="54" ht="22.5" customHeight="1">
      <x:c r="A54" s="134" t="str">
        <x:v>☐</x:v>
      </x:c>
      <x:c r="B54" s="135" t="str">
        <x:v>Doors &amp; Trim</x:v>
      </x:c>
      <x:c r="C54" s="135" t="str">
        <x:v>Trim Design/Profile</x:v>
      </x:c>
      <x:c r="D54" s="135"/>
      <x:c r="E54" s="135"/>
      <x:c r="F54" s="136"/>
      <x:c r="G54" s="135"/>
      <x:c r="H54" s="135"/>
      <x:c r="I54" s="135"/>
      <x:c r="J54" s="135"/>
      <x:c r="K54" s="137"/>
      <x:c r="L54" s="135" t="str">
        <x:v>No</x:v>
      </x:c>
      <x:c r="M54" s="135" t="str">
        <x:v>No</x:v>
      </x:c>
      <x:c r="N54" s="135" t="str">
        <x:v>No</x:v>
      </x:c>
      <x:c r="O54" s="135"/>
      <x:c r="P54" s="138"/>
    </x:row>
    <x:row r="55" ht="22.5" customHeight="1">
      <x:c r="A55" s="134" t="str">
        <x:v>☐</x:v>
      </x:c>
      <x:c r="B55" s="135" t="str">
        <x:v>Doors &amp; Trim</x:v>
      </x:c>
      <x:c r="C55" s="135" t="str">
        <x:v>Door Stops</x:v>
      </x:c>
      <x:c r="D55" s="135"/>
      <x:c r="E55" s="135"/>
      <x:c r="F55" s="136"/>
      <x:c r="G55" s="135"/>
      <x:c r="H55" s="135"/>
      <x:c r="I55" s="135"/>
      <x:c r="J55" s="135"/>
      <x:c r="K55" s="137"/>
      <x:c r="L55" s="135" t="str">
        <x:v>No</x:v>
      </x:c>
      <x:c r="M55" s="135" t="str">
        <x:v>No</x:v>
      </x:c>
      <x:c r="N55" s="135" t="str">
        <x:v>No</x:v>
      </x:c>
      <x:c r="O55" s="135"/>
      <x:c r="P55" s="138"/>
    </x:row>
    <x:row r="56" ht="22.5" customHeight="1">
      <x:c r="A56" s="134" t="str">
        <x:v>☐</x:v>
      </x:c>
      <x:c r="B56" s="135" t="str">
        <x:v>Windows &amp; Exterior</x:v>
      </x:c>
      <x:c r="C56" s="135" t="str">
        <x:v>Windows</x:v>
      </x:c>
      <x:c r="D56" s="135"/>
      <x:c r="E56" s="135"/>
      <x:c r="F56" s="136"/>
      <x:c r="G56" s="135"/>
      <x:c r="H56" s="135"/>
      <x:c r="I56" s="135"/>
      <x:c r="J56" s="135"/>
      <x:c r="K56" s="137"/>
      <x:c r="L56" s="135" t="str">
        <x:v>No</x:v>
      </x:c>
      <x:c r="M56" s="135" t="str">
        <x:v>No</x:v>
      </x:c>
      <x:c r="N56" s="135" t="str">
        <x:v>No</x:v>
      </x:c>
      <x:c r="O56" s="135"/>
      <x:c r="P56" s="138"/>
    </x:row>
    <x:row r="57" ht="22.5" customHeight="1">
      <x:c r="A57" s="134" t="str">
        <x:v>☐</x:v>
      </x:c>
      <x:c r="B57" s="135" t="str">
        <x:v>Windows &amp; Exterior</x:v>
      </x:c>
      <x:c r="C57" s="135" t="str">
        <x:v>Window Trim</x:v>
      </x:c>
      <x:c r="D57" s="135"/>
      <x:c r="E57" s="135"/>
      <x:c r="F57" s="136"/>
      <x:c r="G57" s="135"/>
      <x:c r="H57" s="135"/>
      <x:c r="I57" s="135"/>
      <x:c r="J57" s="135"/>
      <x:c r="K57" s="137"/>
      <x:c r="L57" s="135" t="str">
        <x:v>No</x:v>
      </x:c>
      <x:c r="M57" s="135" t="str">
        <x:v>No</x:v>
      </x:c>
      <x:c r="N57" s="135" t="str">
        <x:v>No</x:v>
      </x:c>
      <x:c r="O57" s="135"/>
      <x:c r="P57" s="138"/>
    </x:row>
    <x:row r="58" ht="22.5" customHeight="1">
      <x:c r="A58" s="134" t="str">
        <x:v>☐</x:v>
      </x:c>
      <x:c r="B58" s="135" t="str">
        <x:v>Windows &amp; Exterior</x:v>
      </x:c>
      <x:c r="C58" s="135" t="str">
        <x:v>Exterior Door</x:v>
      </x:c>
      <x:c r="D58" s="135"/>
      <x:c r="E58" s="135"/>
      <x:c r="F58" s="136"/>
      <x:c r="G58" s="135"/>
      <x:c r="H58" s="135"/>
      <x:c r="I58" s="135"/>
      <x:c r="J58" s="135"/>
      <x:c r="K58" s="137"/>
      <x:c r="L58" s="135" t="str">
        <x:v>No</x:v>
      </x:c>
      <x:c r="M58" s="135" t="str">
        <x:v>No</x:v>
      </x:c>
      <x:c r="N58" s="135" t="str">
        <x:v>No</x:v>
      </x:c>
      <x:c r="O58" s="135"/>
      <x:c r="P58" s="138"/>
    </x:row>
    <x:row r="59" ht="22.5" customHeight="1">
      <x:c r="A59" s="134" t="str">
        <x:v>☐</x:v>
      </x:c>
      <x:c r="B59" s="135" t="str">
        <x:v>Windows &amp; Exterior</x:v>
      </x:c>
      <x:c r="C59" s="135" t="str">
        <x:v>Exterior Door Hardware</x:v>
      </x:c>
      <x:c r="D59" s="135"/>
      <x:c r="E59" s="135"/>
      <x:c r="F59" s="136"/>
      <x:c r="G59" s="135"/>
      <x:c r="H59" s="135"/>
      <x:c r="I59" s="135"/>
      <x:c r="J59" s="135"/>
      <x:c r="K59" s="137"/>
      <x:c r="L59" s="135" t="str">
        <x:v>No</x:v>
      </x:c>
      <x:c r="M59" s="135" t="str">
        <x:v>No</x:v>
      </x:c>
      <x:c r="N59" s="135" t="str">
        <x:v>No</x:v>
      </x:c>
      <x:c r="O59" s="135"/>
      <x:c r="P59" s="138"/>
    </x:row>
    <x:row r="60" ht="22.5" customHeight="1">
      <x:c r="A60" s="134" t="str">
        <x:v>☐</x:v>
      </x:c>
      <x:c r="B60" s="135" t="str">
        <x:v>Windows &amp; Exterior</x:v>
      </x:c>
      <x:c r="C60" s="135" t="str">
        <x:v>Doorbell</x:v>
      </x:c>
      <x:c r="D60" s="135"/>
      <x:c r="E60" s="135"/>
      <x:c r="F60" s="136"/>
      <x:c r="G60" s="135"/>
      <x:c r="H60" s="135"/>
      <x:c r="I60" s="135"/>
      <x:c r="J60" s="135"/>
      <x:c r="K60" s="137"/>
      <x:c r="L60" s="135" t="str">
        <x:v>No</x:v>
      </x:c>
      <x:c r="M60" s="135" t="str">
        <x:v>No</x:v>
      </x:c>
      <x:c r="N60" s="135" t="str">
        <x:v>No</x:v>
      </x:c>
      <x:c r="O60" s="135"/>
      <x:c r="P60" s="138"/>
    </x:row>
    <x:row r="61" ht="22.5" customHeight="1">
      <x:c r="A61" s="134" t="str">
        <x:v>☐</x:v>
      </x:c>
      <x:c r="B61" s="135" t="str">
        <x:v>Final Finishes</x:v>
      </x:c>
      <x:c r="C61" s="135" t="str">
        <x:v>Grout Colour</x:v>
      </x:c>
      <x:c r="D61" s="135"/>
      <x:c r="E61" s="135"/>
      <x:c r="F61" s="136"/>
      <x:c r="G61" s="135"/>
      <x:c r="H61" s="135"/>
      <x:c r="I61" s="135"/>
      <x:c r="J61" s="135"/>
      <x:c r="K61" s="137"/>
      <x:c r="L61" s="135" t="str">
        <x:v>No</x:v>
      </x:c>
      <x:c r="M61" s="135" t="str">
        <x:v>No</x:v>
      </x:c>
      <x:c r="N61" s="135" t="str">
        <x:v>No</x:v>
      </x:c>
      <x:c r="O61" s="135"/>
      <x:c r="P61" s="138"/>
    </x:row>
    <x:row r="62" ht="22.5" customHeight="1">
      <x:c r="A62" s="134" t="str">
        <x:v>☐</x:v>
      </x:c>
      <x:c r="B62" s="135" t="str">
        <x:v>Final Finishes</x:v>
      </x:c>
      <x:c r="C62" s="135" t="str">
        <x:v>Silicone/Caulking Colour</x:v>
      </x:c>
      <x:c r="D62" s="135"/>
      <x:c r="E62" s="135"/>
      <x:c r="F62" s="136"/>
      <x:c r="G62" s="135"/>
      <x:c r="H62" s="135"/>
      <x:c r="I62" s="135"/>
      <x:c r="J62" s="135"/>
      <x:c r="K62" s="137"/>
      <x:c r="L62" s="135" t="str">
        <x:v>No</x:v>
      </x:c>
      <x:c r="M62" s="135" t="str">
        <x:v>No</x:v>
      </x:c>
      <x:c r="N62" s="135" t="str">
        <x:v>No</x:v>
      </x:c>
      <x:c r="O62" s="135"/>
      <x:c r="P62" s="138"/>
    </x:row>
    <x:row r="63" ht="22.5" customHeight="1">
      <x:c r="A63" s="134" t="str">
        <x:v>☐</x:v>
      </x:c>
      <x:c r="B63" s="135" t="str">
        <x:v>Final Finishes</x:v>
      </x:c>
      <x:c r="C63" s="135" t="str">
        <x:v>Shelving</x:v>
      </x:c>
      <x:c r="D63" s="135"/>
      <x:c r="E63" s="135"/>
      <x:c r="F63" s="136"/>
      <x:c r="G63" s="135"/>
      <x:c r="H63" s="135"/>
      <x:c r="I63" s="135"/>
      <x:c r="J63" s="135"/>
      <x:c r="K63" s="137"/>
      <x:c r="L63" s="135" t="str">
        <x:v>No</x:v>
      </x:c>
      <x:c r="M63" s="135" t="str">
        <x:v>No</x:v>
      </x:c>
      <x:c r="N63" s="135" t="str">
        <x:v>No</x:v>
      </x:c>
      <x:c r="O63" s="135"/>
      <x:c r="P63" s="138"/>
    </x:row>
    <x:row r="64" ht="22.5" customHeight="1">
      <x:c r="A64" s="134" t="str">
        <x:v>☐</x:v>
      </x:c>
      <x:c r="B64" s="135" t="str">
        <x:v>Final Finishes</x:v>
      </x:c>
      <x:c r="C64" s="135" t="str">
        <x:v>Closet Organizer</x:v>
      </x:c>
      <x:c r="D64" s="135"/>
      <x:c r="E64" s="135"/>
      <x:c r="F64" s="136"/>
      <x:c r="G64" s="135"/>
      <x:c r="H64" s="135"/>
      <x:c r="I64" s="135"/>
      <x:c r="J64" s="135"/>
      <x:c r="K64" s="137"/>
      <x:c r="L64" s="135" t="str">
        <x:v>No</x:v>
      </x:c>
      <x:c r="M64" s="135" t="str">
        <x:v>No</x:v>
      </x:c>
      <x:c r="N64" s="135" t="str">
        <x:v>No</x:v>
      </x:c>
      <x:c r="O64" s="135"/>
      <x:c r="P64" s="138"/>
    </x:row>
    <x:row r="65" ht="22.5" customHeight="1">
      <x:c r="A65" s="139" t="str">
        <x:v>☐</x:v>
      </x:c>
      <x:c r="B65" s="140" t="str">
        <x:v>Final Finishes</x:v>
      </x:c>
      <x:c r="C65" s="140" t="str">
        <x:v>Window Coverings</x:v>
      </x:c>
      <x:c r="D65" s="140"/>
      <x:c r="E65" s="140"/>
      <x:c r="F65" s="141"/>
      <x:c r="G65" s="140"/>
      <x:c r="H65" s="140"/>
      <x:c r="I65" s="140"/>
      <x:c r="J65" s="140"/>
      <x:c r="K65" s="142"/>
      <x:c r="L65" s="140" t="str">
        <x:v>No</x:v>
      </x:c>
      <x:c r="M65" s="140" t="str">
        <x:v>No</x:v>
      </x:c>
      <x:c r="N65" s="140" t="str">
        <x:v>No</x:v>
      </x:c>
      <x:c r="O65" s="140"/>
      <x:c r="P65" s="143"/>
    </x:row>
  </x:sheetData>
  <x:mergeCells>
    <x:mergeCell ref="A1:P1"/>
    <x:mergeCell ref="A2:P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L4"/>
    <x:mergeCell ref="K5:L5"/>
    <x:mergeCell ref="M4:N4"/>
    <x:mergeCell ref="M5:N5"/>
    <x:mergeCell ref="O4:P4"/>
    <x:mergeCell ref="O5:P5"/>
  </x:mergeCells>
  <x:conditionalFormatting sqref="A8:P65">
    <x:cfRule type="expression" dxfId="0" priority="1">
      <x:formula>$A8="☑"</x:formula>
    </x:cfRule>
  </x:conditionalFormatting>
  <x:conditionalFormatting sqref="D8:D65">
    <x:cfRule type="containsText" dxfId="1" priority="2" operator="containsText" text="High"/>
    <x:cfRule type="containsText" dxfId="2" priority="3" operator="containsText" text="Medium"/>
    <x:cfRule type="containsText" dxfId="3" priority="4" operator="containsText" text="Low"/>
  </x:conditionalFormatting>
  <x:conditionalFormatting sqref="L8:N65">
    <x:cfRule type="containsText" dxfId="4" priority="5" operator="containsText" text="Yes"/>
    <x:cfRule type="containsText" dxfId="5" priority="6" operator="containsText" text="No"/>
  </x:conditionalFormatting>
  <x:conditionalFormatting sqref="F8:F65">
    <x:cfRule type="expression" dxfId="6" priority="7">
      <x:formula>AND($F8&lt;TODAY(),$F8&lt;&gt;"",$A8="☐")</x:formula>
    </x:cfRule>
    <x:cfRule type="expression" dxfId="7" priority="8">
      <x:formula>AND($F8&gt;=TODAY(),$F8&lt;=TODAY()+7,$A8="☐")</x:formula>
    </x:cfRule>
  </x:conditionalFormatting>
  <x:conditionalFormatting sqref="I8:J65">
    <x:cfRule type="expression" dxfId="8" priority="9">
      <x:formula>AND($L8="Yes",$I8="")</x:formula>
    </x:cfRule>
  </x:conditionalFormatting>
  <x:conditionalFormatting sqref="K8:K65">
    <x:cfRule type="expression" dxfId="9" priority="10">
      <x:formula>AND($G8&lt;&gt;"",$K8="")</x:formula>
    </x:cfRule>
  </x:conditionalFormatting>
  <x:conditionalFormatting sqref="M8:M65">
    <x:cfRule type="expression" dxfId="10" priority="11">
      <x:formula>AND($M8="Yes",$L8&lt;&gt;"Yes")</x:formula>
    </x:cfRule>
  </x:conditionalFormatting>
  <x:conditionalFormatting sqref="N8:N65">
    <x:cfRule type="expression" dxfId="11" priority="12">
      <x:formula>AND($N8="Yes",$M8&lt;&gt;"Yes")</x:formula>
    </x:cfRule>
  </x:conditionalFormatting>
  <x:dataValidations count="4">
    <x:dataValidation type="list" sqref="A8:A65">
      <x:formula1>"☐,☑"</x:formula1>
    </x:dataValidation>
    <x:dataValidation type="list" sqref="D8:D65">
      <x:formula1>"High,Medium,Low,Later"</x:formula1>
    </x:dataValidation>
    <x:dataValidation type="list" sqref="E8:E65">
      <x:formula1>"Homeowner,Contractor,Designer,Supplier,Waiting,Done"</x:formula1>
    </x:dataValidation>
    <x:dataValidation type="list" sqref="L8:N65">
      <x:formula1>"No,Yes,N/A"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fe7cb71cc740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5.5" customHeight="1">
      <x:c r="A1" s="116" t="str">
        <x:v>Renovation Selection Dashboard</x:v>
      </x:c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</x:row>
    <x:row r="2">
      <x:c r="A2" s="117"/>
      <x:c r="B2" s="117"/>
      <x:c r="C2" s="117"/>
      <x:c r="D2" s="117"/>
      <x:c r="E2" s="117"/>
      <x:c r="F2" s="117"/>
      <x:c r="G2" s="117"/>
      <x:c r="H2" s="117"/>
      <x:c r="I2" s="117"/>
      <x:c r="J2" s="117"/>
      <x:c r="K2" s="117"/>
    </x:row>
    <x:row r="3">
      <x:c r="A3" s="119" t="str">
        <x:v>Open Items</x:v>
      </x:c>
      <x:c r="B3" s="120"/>
      <x:c r="C3" s="120" t="str">
        <x:v>Not Selected</x:v>
      </x:c>
      <x:c r="D3" s="120"/>
      <x:c r="E3" s="120" t="str">
        <x:v>Due Soon</x:v>
      </x:c>
      <x:c r="F3" s="120"/>
      <x:c r="G3" s="120" t="str">
        <x:v>Overdue</x:v>
      </x:c>
      <x:c r="H3" s="121"/>
      <x:c r="I3" s="117"/>
      <x:c r="J3" s="117"/>
      <x:c r="K3" s="117"/>
    </x:row>
    <x:row r="4">
      <x:c r="A4" s="158" t="n">
        <x:f>COUNTIF('Selections Tracker'!A8:A65,"☐")</x:f>
        <x:v>58</x:v>
      </x:c>
      <x:c r="B4" s="159"/>
      <x:c r="C4" s="159" t="n">
        <x:f>COUNTBLANK('Selections Tracker'!G8:G65)</x:f>
        <x:v>58</x:v>
      </x:c>
      <x:c r="D4" s="159"/>
      <x:c r="E4" s="159" t="n">
        <x:f>COUNTIFS('Selections Tracker'!F8:F65,"&gt;="&amp;TODAY(),'Selections Tracker'!F8:F65,"&lt;="&amp;TODAY()+7,'Selections Tracker'!A8:A65,"☐")</x:f>
        <x:v>0</x:v>
      </x:c>
      <x:c r="F4" s="159"/>
      <x:c r="G4" s="159" t="n">
        <x:f>COUNTIFS('Selections Tracker'!F8:F65,"&lt;"&amp;TODAY(),'Selections Tracker'!F8:F65,"&lt;&gt;",'Selections Tracker'!A8:A65,"☐")</x:f>
        <x:v>0</x:v>
      </x:c>
      <x:c r="H4" s="160"/>
      <x:c r="I4" s="117"/>
      <x:c r="J4" s="117"/>
      <x:c r="K4" s="117"/>
    </x:row>
    <x:row r="5">
      <x:c r="A5" s="161" t="str">
        <x:v>Ordered Not Delivered</x:v>
      </x:c>
      <x:c r="B5" s="162"/>
      <x:c r="C5" s="162" t="str">
        <x:v>Delivered Not Installed</x:v>
      </x:c>
      <x:c r="D5" s="162"/>
      <x:c r="E5" s="162" t="str">
        <x:v>Installed</x:v>
      </x:c>
      <x:c r="F5" s="162"/>
      <x:c r="G5" s="162" t="str">
        <x:v>Estimated Total</x:v>
      </x:c>
      <x:c r="H5" s="163"/>
      <x:c r="I5" s="117"/>
      <x:c r="J5" s="117"/>
      <x:c r="K5" s="117"/>
    </x:row>
    <x:row r="6">
      <x:c r="A6" s="164" t="n">
        <x:f>COUNTIFS('Selections Tracker'!L8:L65,"Yes",'Selections Tracker'!M8:M65,"&lt;&gt;Yes")</x:f>
        <x:v>0</x:v>
      </x:c>
      <x:c r="B6" s="165"/>
      <x:c r="C6" s="165" t="n">
        <x:f>COUNTIFS('Selections Tracker'!M8:M65,"Yes",'Selections Tracker'!N8:N65,"&lt;&gt;Yes")</x:f>
        <x:v>0</x:v>
      </x:c>
      <x:c r="D6" s="165"/>
      <x:c r="E6" s="165" t="n">
        <x:f>COUNTIF('Selections Tracker'!N8:N65,"Yes")</x:f>
        <x:v>0</x:v>
      </x:c>
      <x:c r="F6" s="165"/>
      <x:c r="G6" s="166" t="n">
        <x:f>SUM('Selections Tracker'!K8:K65)</x:f>
        <x:v>0</x:v>
      </x:c>
      <x:c r="H6" s="167"/>
      <x:c r="I6" s="117"/>
      <x:c r="J6" s="117"/>
      <x:c r="K6" s="117"/>
    </x:row>
    <x:row r="7">
      <x:c r="A7" s="117"/>
      <x:c r="B7" s="117"/>
      <x:c r="C7" s="117"/>
      <x:c r="D7" s="117"/>
      <x:c r="E7" s="117"/>
      <x:c r="F7" s="117"/>
      <x:c r="G7" s="117"/>
      <x:c r="H7" s="117"/>
      <x:c r="I7" s="117"/>
      <x:c r="J7" s="117"/>
      <x:c r="K7" s="117"/>
    </x:row>
    <x:row r="8">
      <x:c r="A8" s="117"/>
      <x:c r="B8" s="117"/>
      <x:c r="C8" s="117"/>
      <x:c r="D8" s="117"/>
      <x:c r="E8" s="117"/>
      <x:c r="F8" s="117"/>
      <x:c r="G8" s="117"/>
      <x:c r="H8" s="117"/>
      <x:c r="I8" s="117"/>
      <x:c r="J8" s="117"/>
      <x:c r="K8" s="117"/>
    </x:row>
    <x:row r="9">
      <x:c r="A9" s="168" t="str">
        <x:v>Category</x:v>
      </x:c>
      <x:c r="B9" s="168" t="str">
        <x:v>Total</x:v>
      </x:c>
      <x:c r="C9" s="168" t="str">
        <x:v>Done</x:v>
      </x:c>
      <x:c r="D9" s="168" t="str">
        <x:v>Remaining</x:v>
      </x:c>
      <x:c r="E9" s="117"/>
      <x:c r="F9" s="117"/>
      <x:c r="G9" s="117"/>
      <x:c r="H9" s="117"/>
      <x:c r="I9" s="117"/>
      <x:c r="J9" s="117"/>
      <x:c r="K9" s="117"/>
    </x:row>
    <x:row r="10">
      <x:c r="A10" s="169" t="str">
        <x:v>Bathroom</x:v>
      </x:c>
      <x:c r="B10" s="169" t="n">
        <x:f>COUNTIF('Selections Tracker'!B8:B65,A10)</x:f>
        <x:v>21</x:v>
      </x:c>
      <x:c r="C10" s="169" t="n">
        <x:f>COUNTIFS('Selections Tracker'!B8:B65,A10,'Selections Tracker'!A8:A65,"☑")</x:f>
        <x:v>0</x:v>
      </x:c>
      <x:c r="D10" s="169" t="n">
        <x:f>B10-C10</x:f>
        <x:v>21</x:v>
      </x:c>
      <x:c r="E10" s="117"/>
      <x:c r="F10" s="117"/>
      <x:c r="G10" s="117"/>
      <x:c r="H10" s="117"/>
      <x:c r="I10" s="117"/>
      <x:c r="J10" s="117"/>
      <x:c r="K10" s="117"/>
    </x:row>
    <x:row r="11">
      <x:c r="A11" s="170" t="str">
        <x:v>Kitchen</x:v>
      </x:c>
      <x:c r="B11" s="170" t="n">
        <x:f>COUNTIF('Selections Tracker'!B8:B65,A11)</x:f>
        <x:v>9</x:v>
      </x:c>
      <x:c r="C11" s="170" t="n">
        <x:f>COUNTIFS('Selections Tracker'!B8:B65,A11,'Selections Tracker'!A8:A65,"☑")</x:f>
        <x:v>0</x:v>
      </x:c>
      <x:c r="D11" s="170" t="n">
        <x:f>B11-C11</x:f>
        <x:v>9</x:v>
      </x:c>
      <x:c r="E11" s="117"/>
      <x:c r="F11" s="117"/>
      <x:c r="G11" s="117"/>
      <x:c r="H11" s="117"/>
      <x:c r="I11" s="117"/>
      <x:c r="J11" s="117"/>
      <x:c r="K11" s="117"/>
    </x:row>
    <x:row r="12">
      <x:c r="A12" s="170" t="str">
        <x:v>Flooring</x:v>
      </x:c>
      <x:c r="B12" s="170" t="n">
        <x:f>COUNTIF('Selections Tracker'!B8:B65,A12)</x:f>
        <x:v>4</x:v>
      </x:c>
      <x:c r="C12" s="170" t="n">
        <x:f>COUNTIFS('Selections Tracker'!B8:B65,A12,'Selections Tracker'!A8:A65,"☑")</x:f>
        <x:v>0</x:v>
      </x:c>
      <x:c r="D12" s="170" t="n">
        <x:f>B12-C12</x:f>
        <x:v>4</x:v>
      </x:c>
      <x:c r="E12" s="117"/>
      <x:c r="F12" s="117"/>
      <x:c r="G12" s="117"/>
      <x:c r="H12" s="117"/>
      <x:c r="I12" s="117"/>
      <x:c r="J12" s="117"/>
      <x:c r="K12" s="117"/>
    </x:row>
    <x:row r="13">
      <x:c r="A13" s="170" t="str">
        <x:v>Paint</x:v>
      </x:c>
      <x:c r="B13" s="170" t="n">
        <x:f>COUNTIF('Selections Tracker'!B8:B65,A13)</x:f>
        <x:v>4</x:v>
      </x:c>
      <x:c r="C13" s="170" t="n">
        <x:f>COUNTIFS('Selections Tracker'!B8:B65,A13,'Selections Tracker'!A8:A65,"☑")</x:f>
        <x:v>0</x:v>
      </x:c>
      <x:c r="D13" s="170" t="n">
        <x:f>B13-C13</x:f>
        <x:v>4</x:v>
      </x:c>
      <x:c r="E13" s="117"/>
      <x:c r="F13" s="117"/>
      <x:c r="G13" s="117"/>
      <x:c r="H13" s="117"/>
      <x:c r="I13" s="117"/>
      <x:c r="J13" s="117"/>
      <x:c r="K13" s="117"/>
    </x:row>
    <x:row r="14">
      <x:c r="A14" s="170" t="str">
        <x:v>Doors &amp; Trim</x:v>
      </x:c>
      <x:c r="B14" s="170" t="n">
        <x:f>COUNTIF('Selections Tracker'!B8:B65,A14)</x:f>
        <x:v>10</x:v>
      </x:c>
      <x:c r="C14" s="170" t="n">
        <x:f>COUNTIFS('Selections Tracker'!B8:B65,A14,'Selections Tracker'!A8:A65,"☑")</x:f>
        <x:v>0</x:v>
      </x:c>
      <x:c r="D14" s="170" t="n">
        <x:f>B14-C14</x:f>
        <x:v>10</x:v>
      </x:c>
      <x:c r="E14" s="117"/>
      <x:c r="F14" s="117"/>
      <x:c r="G14" s="117"/>
      <x:c r="H14" s="117"/>
      <x:c r="I14" s="117"/>
      <x:c r="J14" s="117"/>
      <x:c r="K14" s="117"/>
    </x:row>
    <x:row r="15">
      <x:c r="A15" s="170" t="str">
        <x:v>Windows &amp; Exterior</x:v>
      </x:c>
      <x:c r="B15" s="170" t="n">
        <x:f>COUNTIF('Selections Tracker'!B8:B65,A15)</x:f>
        <x:v>5</x:v>
      </x:c>
      <x:c r="C15" s="170" t="n">
        <x:f>COUNTIFS('Selections Tracker'!B8:B65,A15,'Selections Tracker'!A8:A65,"☑")</x:f>
        <x:v>0</x:v>
      </x:c>
      <x:c r="D15" s="170" t="n">
        <x:f>B15-C15</x:f>
        <x:v>5</x:v>
      </x:c>
      <x:c r="E15" s="117"/>
      <x:c r="F15" s="117"/>
      <x:c r="G15" s="117"/>
      <x:c r="H15" s="117"/>
      <x:c r="I15" s="117"/>
      <x:c r="J15" s="117"/>
      <x:c r="K15" s="117"/>
    </x:row>
    <x:row r="16">
      <x:c r="A16" s="171" t="str">
        <x:v>Final Finishes</x:v>
      </x:c>
      <x:c r="B16" s="171" t="n">
        <x:f>COUNTIF('Selections Tracker'!B8:B65,A16)</x:f>
        <x:v>5</x:v>
      </x:c>
      <x:c r="C16" s="171" t="n">
        <x:f>COUNTIFS('Selections Tracker'!B8:B65,A16,'Selections Tracker'!A8:A65,"☑")</x:f>
        <x:v>0</x:v>
      </x:c>
      <x:c r="D16" s="171" t="n">
        <x:f>B16-C16</x:f>
        <x:v>5</x:v>
      </x:c>
      <x:c r="E16" s="117"/>
      <x:c r="F16" s="117"/>
      <x:c r="G16" s="117"/>
      <x:c r="H16" s="117"/>
      <x:c r="I16" s="117"/>
      <x:c r="J16" s="117"/>
      <x:c r="K16" s="117"/>
    </x:row>
    <x:row r="17">
      <x:c r="A17" s="117"/>
      <x:c r="B17" s="117"/>
      <x:c r="C17" s="117"/>
      <x:c r="D17" s="117"/>
      <x:c r="E17" s="117"/>
      <x:c r="F17" s="117"/>
      <x:c r="G17" s="117"/>
      <x:c r="H17" s="117"/>
      <x:c r="I17" s="117"/>
      <x:c r="J17" s="117"/>
      <x:c r="K17" s="117"/>
    </x:row>
    <x:row r="18">
      <x:c r="A18" s="117"/>
      <x:c r="B18" s="117"/>
      <x:c r="C18" s="117"/>
      <x:c r="D18" s="117"/>
      <x:c r="E18" s="117"/>
      <x:c r="F18" s="117"/>
      <x:c r="G18" s="117"/>
      <x:c r="H18" s="117"/>
      <x:c r="I18" s="117"/>
      <x:c r="J18" s="117"/>
      <x:c r="K18" s="117"/>
    </x:row>
    <x:row r="19">
      <x:c r="A19" s="117"/>
      <x:c r="B19" s="117"/>
      <x:c r="C19" s="117"/>
      <x:c r="D19" s="117"/>
      <x:c r="E19" s="117"/>
      <x:c r="F19" s="117"/>
      <x:c r="G19" s="117"/>
      <x:c r="H19" s="117"/>
      <x:c r="I19" s="117"/>
      <x:c r="J19" s="117"/>
      <x:c r="K19" s="117"/>
    </x:row>
    <x:row r="20">
      <x:c r="A20" s="117"/>
      <x:c r="B20" s="117"/>
      <x:c r="C20" s="117"/>
      <x:c r="D20" s="117"/>
      <x:c r="E20" s="117"/>
      <x:c r="F20" s="117"/>
      <x:c r="G20" s="117"/>
      <x:c r="H20" s="117"/>
      <x:c r="I20" s="117"/>
      <x:c r="J20" s="117"/>
      <x:c r="K20" s="117"/>
    </x:row>
    <x:row r="21">
      <x:c r="A21" s="117"/>
      <x:c r="B21" s="117"/>
      <x:c r="C21" s="117"/>
      <x:c r="D21" s="117"/>
      <x:c r="E21" s="117"/>
      <x:c r="F21" s="117"/>
      <x:c r="G21" s="117"/>
      <x:c r="H21" s="117"/>
      <x:c r="I21" s="117"/>
      <x:c r="J21" s="117"/>
      <x:c r="K21" s="117"/>
    </x:row>
    <x:row r="22">
      <x:c r="A22" s="117"/>
      <x:c r="B22" s="117"/>
      <x:c r="C22" s="117"/>
      <x:c r="D22" s="117"/>
      <x:c r="E22" s="117"/>
      <x:c r="F22" s="117"/>
      <x:c r="G22" s="117"/>
      <x:c r="H22" s="117"/>
      <x:c r="I22" s="117"/>
      <x:c r="J22" s="117"/>
      <x:c r="K22" s="117"/>
    </x:row>
    <x:row r="23">
      <x:c r="A23" s="117"/>
      <x:c r="B23" s="117"/>
      <x:c r="C23" s="117"/>
      <x:c r="D23" s="117"/>
      <x:c r="E23" s="117"/>
      <x:c r="F23" s="117"/>
      <x:c r="G23" s="117"/>
      <x:c r="H23" s="117"/>
      <x:c r="I23" s="117"/>
      <x:c r="J23" s="117"/>
      <x:c r="K23" s="117"/>
    </x:row>
    <x:row r="24">
      <x:c r="A24" s="117"/>
      <x:c r="B24" s="117"/>
      <x:c r="C24" s="117"/>
      <x:c r="D24" s="117"/>
      <x:c r="E24" s="117"/>
      <x:c r="F24" s="117"/>
      <x:c r="G24" s="117"/>
      <x:c r="H24" s="117"/>
      <x:c r="I24" s="117"/>
      <x:c r="J24" s="117"/>
      <x:c r="K24" s="117"/>
    </x:row>
    <x:row r="25">
      <x:c r="A25" s="117"/>
      <x:c r="B25" s="117"/>
      <x:c r="C25" s="117"/>
      <x:c r="D25" s="117"/>
      <x:c r="E25" s="117"/>
      <x:c r="F25" s="117"/>
      <x:c r="G25" s="117"/>
      <x:c r="H25" s="117"/>
      <x:c r="I25" s="117"/>
      <x:c r="J25" s="117"/>
      <x:c r="K25" s="117"/>
    </x:row>
    <x:row r="26">
      <x:c r="A26" s="117"/>
      <x:c r="B26" s="117"/>
      <x:c r="C26" s="117"/>
      <x:c r="D26" s="117"/>
      <x:c r="E26" s="117"/>
      <x:c r="F26" s="117"/>
      <x:c r="G26" s="117"/>
      <x:c r="H26" s="117"/>
      <x:c r="I26" s="117"/>
      <x:c r="J26" s="117"/>
      <x:c r="K26" s="117"/>
    </x:row>
    <x:row r="27">
      <x:c r="A27" s="117"/>
      <x:c r="B27" s="117"/>
      <x:c r="C27" s="117"/>
      <x:c r="D27" s="117"/>
      <x:c r="E27" s="117"/>
      <x:c r="F27" s="117"/>
      <x:c r="G27" s="117"/>
      <x:c r="H27" s="117"/>
      <x:c r="I27" s="117"/>
      <x:c r="J27" s="117" t="str">
        <x:v>Category</x:v>
      </x:c>
      <x:c r="K27" s="117" t="str">
        <x:v>Remaining</x:v>
      </x:c>
    </x:row>
    <x:row r="28">
      <x:c r="A28" s="117"/>
      <x:c r="B28" s="117"/>
      <x:c r="C28" s="117"/>
      <x:c r="D28" s="117"/>
      <x:c r="E28" s="117"/>
      <x:c r="F28" s="117"/>
      <x:c r="G28" s="117"/>
      <x:c r="H28" s="117"/>
      <x:c r="I28" s="117"/>
      <x:c r="J28" s="117" t="str">
        <x:f>A10</x:f>
        <x:v>Bathroom</x:v>
      </x:c>
      <x:c r="K28" s="117" t="n">
        <x:f>D10</x:f>
        <x:v>21</x:v>
      </x:c>
    </x:row>
    <x:row r="29">
      <x:c r="A29" s="117"/>
      <x:c r="B29" s="117"/>
      <x:c r="C29" s="117"/>
      <x:c r="D29" s="117"/>
      <x:c r="E29" s="117"/>
      <x:c r="F29" s="117"/>
      <x:c r="G29" s="117"/>
      <x:c r="H29" s="117"/>
      <x:c r="I29" s="117"/>
      <x:c r="J29" s="117" t="str">
        <x:f>A11</x:f>
        <x:v>Kitchen</x:v>
      </x:c>
      <x:c r="K29" s="117" t="n">
        <x:f>D11</x:f>
        <x:v>9</x:v>
      </x:c>
    </x:row>
    <x:row r="30">
      <x:c r="A30" s="117"/>
      <x:c r="B30" s="117"/>
      <x:c r="C30" s="117"/>
      <x:c r="D30" s="117"/>
      <x:c r="E30" s="117"/>
      <x:c r="F30" s="117"/>
      <x:c r="G30" s="117"/>
      <x:c r="H30" s="117"/>
      <x:c r="I30" s="117"/>
      <x:c r="J30" s="117" t="str">
        <x:f>A12</x:f>
        <x:v>Flooring</x:v>
      </x:c>
      <x:c r="K30" s="117" t="n">
        <x:f>D12</x:f>
        <x:v>4</x:v>
      </x:c>
    </x:row>
    <x:row r="31">
      <x:c r="A31" s="117"/>
      <x:c r="B31" s="117"/>
      <x:c r="C31" s="117"/>
      <x:c r="D31" s="117"/>
      <x:c r="E31" s="117"/>
      <x:c r="F31" s="117"/>
      <x:c r="G31" s="117"/>
      <x:c r="H31" s="117"/>
      <x:c r="I31" s="117"/>
      <x:c r="J31" s="117" t="str">
        <x:f>A13</x:f>
        <x:v>Paint</x:v>
      </x:c>
      <x:c r="K31" s="117" t="n">
        <x:f>D13</x:f>
        <x:v>4</x:v>
      </x:c>
    </x:row>
    <x:row r="32">
      <x:c r="A32" s="117"/>
      <x:c r="B32" s="117"/>
      <x:c r="C32" s="117"/>
      <x:c r="D32" s="117"/>
      <x:c r="E32" s="117"/>
      <x:c r="F32" s="117"/>
      <x:c r="G32" s="117"/>
      <x:c r="H32" s="117"/>
      <x:c r="I32" s="117"/>
      <x:c r="J32" s="117" t="str">
        <x:f>A14</x:f>
        <x:v>Doors &amp; Trim</x:v>
      </x:c>
      <x:c r="K32" s="117" t="n">
        <x:f>D14</x:f>
        <x:v>10</x:v>
      </x:c>
    </x:row>
    <x:row r="33">
      <x:c r="A33" s="117"/>
      <x:c r="B33" s="117"/>
      <x:c r="C33" s="117"/>
      <x:c r="D33" s="117"/>
      <x:c r="E33" s="117"/>
      <x:c r="F33" s="117"/>
      <x:c r="G33" s="117"/>
      <x:c r="H33" s="117"/>
      <x:c r="I33" s="117"/>
      <x:c r="J33" s="117" t="str">
        <x:f>A15</x:f>
        <x:v>Windows &amp; Exterior</x:v>
      </x:c>
      <x:c r="K33" s="117" t="n">
        <x:f>D15</x:f>
        <x:v>5</x:v>
      </x:c>
    </x:row>
    <x:row r="34">
      <x:c r="A34" s="117"/>
      <x:c r="B34" s="117"/>
      <x:c r="C34" s="117"/>
      <x:c r="D34" s="117"/>
      <x:c r="E34" s="117"/>
      <x:c r="F34" s="117"/>
      <x:c r="G34" s="117"/>
      <x:c r="H34" s="117"/>
      <x:c r="I34" s="117"/>
      <x:c r="J34" s="117" t="str">
        <x:f>A16</x:f>
        <x:v>Final Finishes</x:v>
      </x:c>
      <x:c r="K34" s="117" t="n">
        <x:f>D16</x:f>
        <x:v>5</x:v>
      </x:c>
    </x:row>
  </x:sheetData>
  <x:mergeCells>
    <x:mergeCell ref="A1:H1"/>
    <x:mergeCell ref="A3:B3"/>
    <x:mergeCell ref="A4:B4"/>
    <x:mergeCell ref="A5:B5"/>
    <x:mergeCell ref="A6:B6"/>
    <x:mergeCell ref="C3:D3"/>
    <x:mergeCell ref="C4:D4"/>
    <x:mergeCell ref="C5:D5"/>
    <x:mergeCell ref="C6:D6"/>
    <x:mergeCell ref="E3:F3"/>
    <x:mergeCell ref="E4:F4"/>
    <x:mergeCell ref="E5:F5"/>
    <x:mergeCell ref="E6:F6"/>
    <x:mergeCell ref="G3:H3"/>
    <x:mergeCell ref="G4:H4"/>
    <x:mergeCell ref="G5:H5"/>
    <x:mergeCell ref="G6:H6"/>
  </x:mergeCells>
  <x:pageMargins left="0.7" right="0.7" top="0.75" bottom="0.75" header="0.3" footer="0.3"/>
  <x:drawing xmlns:r="http://schemas.openxmlformats.org/officeDocument/2006/relationships" r:id="Rdb195638e7f442c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</x:cols>
  <x:sheetData>
    <x:row r="1">
      <x:c r="A1" s="181" t="str">
        <x:v>Completion</x:v>
      </x:c>
      <x:c r="B1" s="182" t="str">
        <x:v>Priority</x:v>
      </x:c>
      <x:c r="C1" s="182" t="str">
        <x:v>Step Values</x:v>
      </x:c>
      <x:c r="D1" s="182" t="str">
        <x:v>Categories</x:v>
      </x:c>
      <x:c r="E1" s="183" t="str">
        <x:v>Owners</x:v>
      </x:c>
    </x:row>
    <x:row r="2">
      <x:c r="A2" s="184" t="str">
        <x:v>☐</x:v>
      </x:c>
      <x:c r="B2" s="185" t="str">
        <x:v>High</x:v>
      </x:c>
      <x:c r="C2" s="185" t="str">
        <x:v>No</x:v>
      </x:c>
      <x:c r="D2" s="185" t="str">
        <x:v>Bathroom</x:v>
      </x:c>
      <x:c r="E2" s="186" t="str">
        <x:v>Homeowner</x:v>
      </x:c>
    </x:row>
    <x:row r="3">
      <x:c r="A3" s="184" t="str">
        <x:v>☑</x:v>
      </x:c>
      <x:c r="B3" s="185" t="str">
        <x:v>Medium</x:v>
      </x:c>
      <x:c r="C3" s="185" t="str">
        <x:v>Yes</x:v>
      </x:c>
      <x:c r="D3" s="185" t="str">
        <x:v>Kitchen</x:v>
      </x:c>
      <x:c r="E3" s="186" t="str">
        <x:v>Contractor</x:v>
      </x:c>
    </x:row>
    <x:row r="4">
      <x:c r="A4" s="184"/>
      <x:c r="B4" s="185" t="str">
        <x:v>Low</x:v>
      </x:c>
      <x:c r="C4" s="185" t="str">
        <x:v>N/A</x:v>
      </x:c>
      <x:c r="D4" s="185" t="str">
        <x:v>Flooring</x:v>
      </x:c>
      <x:c r="E4" s="186" t="str">
        <x:v>Designer</x:v>
      </x:c>
    </x:row>
    <x:row r="5">
      <x:c r="A5" s="184"/>
      <x:c r="B5" s="185" t="str">
        <x:v>Later</x:v>
      </x:c>
      <x:c r="C5" s="185"/>
      <x:c r="D5" s="185" t="str">
        <x:v>Paint</x:v>
      </x:c>
      <x:c r="E5" s="186" t="str">
        <x:v>Supplier</x:v>
      </x:c>
    </x:row>
    <x:row r="6">
      <x:c r="A6" s="184"/>
      <x:c r="B6" s="185"/>
      <x:c r="C6" s="185"/>
      <x:c r="D6" s="185" t="str">
        <x:v>Doors &amp; Trim</x:v>
      </x:c>
      <x:c r="E6" s="186" t="str">
        <x:v>Waiting</x:v>
      </x:c>
    </x:row>
    <x:row r="7">
      <x:c r="A7" s="184"/>
      <x:c r="B7" s="185"/>
      <x:c r="C7" s="185"/>
      <x:c r="D7" s="185" t="str">
        <x:v>Windows &amp; Exterior</x:v>
      </x:c>
      <x:c r="E7" s="186" t="str">
        <x:v>Done</x:v>
      </x:c>
    </x:row>
    <x:row r="8">
      <x:c r="A8" s="184"/>
      <x:c r="B8" s="185"/>
      <x:c r="C8" s="185"/>
      <x:c r="D8" s="185" t="str">
        <x:v>Final Finishes</x:v>
      </x:c>
      <x:c r="E8" s="186"/>
    </x:row>
    <x:row r="9">
      <x:c r="A9" s="184"/>
      <x:c r="B9" s="185"/>
      <x:c r="C9" s="185"/>
      <x:c r="D9" s="185"/>
      <x:c r="E9" s="186"/>
    </x:row>
    <x:row r="10">
      <x:c r="A10" s="184"/>
      <x:c r="B10" s="185"/>
      <x:c r="C10" s="185"/>
      <x:c r="D10" s="185"/>
      <x:c r="E10" s="186"/>
    </x:row>
    <x:row r="11">
      <x:c r="A11" s="184"/>
      <x:c r="B11" s="185"/>
      <x:c r="C11" s="185"/>
      <x:c r="D11" s="185"/>
      <x:c r="E11" s="186"/>
    </x:row>
    <x:row r="12">
      <x:c r="A12" s="184"/>
      <x:c r="B12" s="185"/>
      <x:c r="C12" s="185"/>
      <x:c r="D12" s="185"/>
      <x:c r="E12" s="186"/>
    </x:row>
    <x:row r="13">
      <x:c r="A13" s="184"/>
      <x:c r="B13" s="185"/>
      <x:c r="C13" s="185"/>
      <x:c r="D13" s="185"/>
      <x:c r="E13" s="186"/>
    </x:row>
    <x:row r="14">
      <x:c r="A14" s="184"/>
      <x:c r="B14" s="185"/>
      <x:c r="C14" s="185"/>
      <x:c r="D14" s="185"/>
      <x:c r="E14" s="186"/>
    </x:row>
    <x:row r="15">
      <x:c r="A15" s="184"/>
      <x:c r="B15" s="185"/>
      <x:c r="C15" s="185"/>
      <x:c r="D15" s="185"/>
      <x:c r="E15" s="186"/>
    </x:row>
    <x:row r="16">
      <x:c r="A16" s="184"/>
      <x:c r="B16" s="185"/>
      <x:c r="C16" s="185"/>
      <x:c r="D16" s="185"/>
      <x:c r="E16" s="186"/>
    </x:row>
    <x:row r="17">
      <x:c r="A17" s="184"/>
      <x:c r="B17" s="185"/>
      <x:c r="C17" s="185"/>
      <x:c r="D17" s="185"/>
      <x:c r="E17" s="186"/>
    </x:row>
    <x:row r="18">
      <x:c r="A18" s="184"/>
      <x:c r="B18" s="185"/>
      <x:c r="C18" s="185"/>
      <x:c r="D18" s="185"/>
      <x:c r="E18" s="186"/>
    </x:row>
    <x:row r="19">
      <x:c r="A19" s="184"/>
      <x:c r="B19" s="185"/>
      <x:c r="C19" s="185"/>
      <x:c r="D19" s="185"/>
      <x:c r="E19" s="186"/>
    </x:row>
    <x:row r="20">
      <x:c r="A20" s="187"/>
      <x:c r="B20" s="188"/>
      <x:c r="C20" s="188"/>
      <x:c r="D20" s="188"/>
      <x:c r="E20" s="189"/>
    </x:row>
  </x:sheetData>
  <x:pageMargins left="0.7" right="0.7" top="0.75" bottom="0.75" header="0.3" footer="0.3"/>
</x:worksheet>
</file>